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29.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30.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31.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32.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33.xml" ContentType="application/vnd.openxmlformats-officedocument.spreadsheetml.pivotCacheDefinition+xml"/>
  <Override PartName="/xl/pivotCache/pivotCacheRecords20.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2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drawings/drawing2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drawings/drawing2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3.xml" ContentType="application/vnd.openxmlformats-officedocument.spreadsheetml.pivotTable+xml"/>
  <Override PartName="/xl/drawings/drawing2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4.xml" ContentType="application/vnd.openxmlformats-officedocument.spreadsheetml.pivotTable+xml"/>
  <Override PartName="/xl/drawings/drawing24.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5.xml" ContentType="application/vnd.openxmlformats-officedocument.spreadsheetml.pivotTable+xml"/>
  <Override PartName="/xl/drawings/drawing25.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6.xml" ContentType="application/vnd.openxmlformats-officedocument.spreadsheetml.pivotTable+xml"/>
  <Override PartName="/xl/drawings/drawing26.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7.xml" ContentType="application/vnd.openxmlformats-officedocument.spreadsheetml.pivotTable+xml"/>
  <Override PartName="/xl/drawings/drawing27.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8.xml" ContentType="application/vnd.openxmlformats-officedocument.spreadsheetml.pivotTable+xml"/>
  <Override PartName="/xl/drawings/drawing2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9.xml" ContentType="application/vnd.openxmlformats-officedocument.spreadsheetml.pivotTable+xml"/>
  <Override PartName="/xl/drawings/drawing29.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30.xml" ContentType="application/vnd.openxmlformats-officedocument.spreadsheetml.pivotTable+xml"/>
  <Override PartName="/xl/drawings/drawing30.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31.xml" ContentType="application/vnd.openxmlformats-officedocument.spreadsheetml.pivotTable+xml"/>
  <Override PartName="/xl/drawings/drawing31.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32.xml" ContentType="application/vnd.openxmlformats-officedocument.spreadsheetml.pivotTable+xml"/>
  <Override PartName="/xl/drawings/drawing32.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33.xml" ContentType="application/vnd.openxmlformats-officedocument.spreadsheetml.pivotTable+xml"/>
  <Override PartName="/xl/drawings/drawing33.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defaultThemeVersion="166925"/>
  <mc:AlternateContent xmlns:mc="http://schemas.openxmlformats.org/markup-compatibility/2006">
    <mc:Choice Requires="x15">
      <x15ac:absPath xmlns:x15ac="http://schemas.microsoft.com/office/spreadsheetml/2010/11/ac" url="/Users/leoolivier/Desktop/Julie/"/>
    </mc:Choice>
  </mc:AlternateContent>
  <xr:revisionPtr revIDLastSave="0" documentId="13_ncr:1_{52F02432-CA9D-D143-82DE-0DFB9D439A43}" xr6:coauthVersionLast="47" xr6:coauthVersionMax="47" xr10:uidLastSave="{00000000-0000-0000-0000-000000000000}"/>
  <bookViews>
    <workbookView xWindow="0" yWindow="0" windowWidth="28800" windowHeight="18000" tabRatio="829" xr2:uid="{BBD377F6-FFAA-4A61-A509-22ED9FE08B29}"/>
  </bookViews>
  <sheets>
    <sheet name="Feuil1" sheetId="13" r:id="rId1"/>
    <sheet name="Q1" sheetId="11" r:id="rId2"/>
    <sheet name="Q2" sheetId="1" r:id="rId3"/>
    <sheet name="Q3" sheetId="2" r:id="rId4"/>
    <sheet name="Q4" sheetId="44" r:id="rId5"/>
    <sheet name="TQ4" sheetId="43" r:id="rId6"/>
    <sheet name="Q5" sheetId="71" r:id="rId7"/>
    <sheet name="TQ5" sheetId="41" r:id="rId8"/>
    <sheet name="Q6" sheetId="72" r:id="rId9"/>
    <sheet name="TQ6" sheetId="39" r:id="rId10"/>
    <sheet name="Q7" sheetId="3" r:id="rId11"/>
    <sheet name="Q8" sheetId="4" r:id="rId12"/>
    <sheet name="Q9" sheetId="73" r:id="rId13"/>
    <sheet name="TQ9" sheetId="29" r:id="rId14"/>
    <sheet name="Q10" sheetId="74" r:id="rId15"/>
    <sheet name="TQ10" sheetId="36" r:id="rId16"/>
    <sheet name="Q11" sheetId="75" r:id="rId17"/>
    <sheet name="TQ11" sheetId="27" r:id="rId18"/>
    <sheet name="Q12" sheetId="5" r:id="rId19"/>
    <sheet name="Q13" sheetId="6" r:id="rId20"/>
    <sheet name="Q14" sheetId="76" r:id="rId21"/>
    <sheet name="TQ14" sheetId="25" r:id="rId22"/>
    <sheet name="Q15-1" sheetId="97" r:id="rId23"/>
    <sheet name="Q15-2" sheetId="96" r:id="rId24"/>
    <sheet name="Q15-3" sheetId="95" r:id="rId25"/>
    <sheet name="Q15-4" sheetId="94" r:id="rId26"/>
    <sheet name="Q15-5" sheetId="93" r:id="rId27"/>
    <sheet name="Q15-6" sheetId="92" r:id="rId28"/>
    <sheet name="TQ15" sheetId="45" r:id="rId29"/>
    <sheet name="Q16" sheetId="77" r:id="rId30"/>
    <sheet name="TQ16" sheetId="35" r:id="rId31"/>
    <sheet name="Q17" sheetId="12" r:id="rId32"/>
    <sheet name="Q18" sheetId="78" r:id="rId33"/>
    <sheet name="TQ18" sheetId="34" r:id="rId34"/>
    <sheet name="Q19" sheetId="79" r:id="rId35"/>
    <sheet name="TQ19" sheetId="23" r:id="rId36"/>
    <sheet name="Q20" sheetId="80" r:id="rId37"/>
    <sheet name="TQ20" sheetId="21" r:id="rId38"/>
    <sheet name="Q21" sheetId="81" r:id="rId39"/>
    <sheet name="TQ21" sheetId="20" r:id="rId40"/>
    <sheet name="Q22" sheetId="8" r:id="rId41"/>
    <sheet name="Q23" sheetId="9" r:id="rId42"/>
    <sheet name="Q24" sheetId="10" r:id="rId43"/>
    <sheet name="Q25" sheetId="82" r:id="rId44"/>
    <sheet name="TQ25" sheetId="18" r:id="rId45"/>
    <sheet name="Q26" sheetId="83" r:id="rId46"/>
    <sheet name="TQ26" sheetId="17" r:id="rId47"/>
    <sheet name="Q27" sheetId="84" r:id="rId48"/>
    <sheet name="TQ27" sheetId="15" r:id="rId49"/>
    <sheet name="Q28" sheetId="85" r:id="rId50"/>
    <sheet name="TQ28" sheetId="14" r:id="rId51"/>
  </sheets>
  <definedNames>
    <definedName name="_xlnm._FilterDatabase" localSheetId="0" hidden="1">Feuil1!$A$1:$AJ$152</definedName>
    <definedName name="_xlnm._FilterDatabase" localSheetId="28" hidden="1">'TQ15'!$A$1:$N$132</definedName>
    <definedName name="_xlnm._FilterDatabase" localSheetId="13" hidden="1">'TQ9'!$A$1:$A$152</definedName>
  </definedNames>
  <calcPr calcId="191029"/>
  <pivotCaches>
    <pivotCache cacheId="0" r:id="rId52"/>
    <pivotCache cacheId="1" r:id="rId53"/>
    <pivotCache cacheId="2" r:id="rId54"/>
    <pivotCache cacheId="3" r:id="rId55"/>
    <pivotCache cacheId="4" r:id="rId56"/>
    <pivotCache cacheId="5" r:id="rId57"/>
    <pivotCache cacheId="6" r:id="rId58"/>
    <pivotCache cacheId="7" r:id="rId59"/>
    <pivotCache cacheId="8" r:id="rId60"/>
    <pivotCache cacheId="9" r:id="rId61"/>
    <pivotCache cacheId="10" r:id="rId62"/>
    <pivotCache cacheId="11" r:id="rId63"/>
    <pivotCache cacheId="12" r:id="rId64"/>
    <pivotCache cacheId="13" r:id="rId65"/>
    <pivotCache cacheId="14" r:id="rId66"/>
    <pivotCache cacheId="15" r:id="rId67"/>
    <pivotCache cacheId="16" r:id="rId68"/>
    <pivotCache cacheId="17" r:id="rId69"/>
    <pivotCache cacheId="18" r:id="rId70"/>
    <pivotCache cacheId="19" r:id="rId71"/>
    <pivotCache cacheId="20" r:id="rId72"/>
    <pivotCache cacheId="21" r:id="rId73"/>
    <pivotCache cacheId="22" r:id="rId74"/>
    <pivotCache cacheId="23" r:id="rId75"/>
    <pivotCache cacheId="24" r:id="rId76"/>
    <pivotCache cacheId="25" r:id="rId77"/>
    <pivotCache cacheId="26" r:id="rId78"/>
    <pivotCache cacheId="28" r:id="rId79"/>
    <pivotCache cacheId="29" r:id="rId80"/>
    <pivotCache cacheId="30" r:id="rId81"/>
    <pivotCache cacheId="31" r:id="rId82"/>
    <pivotCache cacheId="32" r:id="rId83"/>
    <pivotCache cacheId="33" r:id="rId8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c r="E6" i="10"/>
  <c r="D6" i="10"/>
  <c r="E5" i="10"/>
  <c r="D5" i="10"/>
  <c r="E4" i="10"/>
  <c r="D4" i="10"/>
  <c r="E3" i="9"/>
  <c r="E3" i="8"/>
  <c r="E6" i="9"/>
  <c r="D6" i="9"/>
  <c r="E5" i="9"/>
  <c r="D5" i="9"/>
  <c r="E4" i="9"/>
  <c r="D4" i="9"/>
  <c r="E6" i="8"/>
  <c r="E5" i="8"/>
  <c r="E4" i="8"/>
  <c r="D6" i="8"/>
  <c r="D5" i="8"/>
  <c r="D4" i="8"/>
  <c r="E3" i="12"/>
  <c r="E8" i="12"/>
  <c r="D8" i="12"/>
  <c r="E7" i="12"/>
  <c r="D7" i="12"/>
  <c r="E6" i="12"/>
  <c r="D6" i="12"/>
  <c r="E5" i="12"/>
  <c r="D5" i="12"/>
  <c r="E4" i="12"/>
  <c r="D4" i="12"/>
  <c r="E3" i="6"/>
  <c r="E6" i="6"/>
  <c r="D6" i="6"/>
  <c r="E5" i="6"/>
  <c r="D5" i="6"/>
  <c r="E4" i="6"/>
  <c r="D4" i="6"/>
  <c r="E3" i="5"/>
  <c r="E8" i="5"/>
  <c r="D8" i="5"/>
  <c r="E7" i="5"/>
  <c r="D7" i="5"/>
  <c r="E6" i="5"/>
  <c r="D6" i="5"/>
  <c r="E5" i="5"/>
  <c r="D5" i="5"/>
  <c r="E4" i="5"/>
  <c r="D4" i="5"/>
  <c r="E3" i="4"/>
  <c r="E7" i="4"/>
  <c r="D7" i="4"/>
  <c r="E6" i="4"/>
  <c r="D6" i="4"/>
  <c r="E5" i="4"/>
  <c r="D5" i="4"/>
  <c r="E4" i="4"/>
  <c r="D4" i="4"/>
  <c r="E3" i="3"/>
  <c r="E3" i="2"/>
  <c r="E6" i="3"/>
  <c r="D6" i="3"/>
  <c r="E5" i="3"/>
  <c r="D5" i="3"/>
  <c r="E4" i="3"/>
  <c r="D4" i="3"/>
  <c r="E7" i="10" l="1"/>
  <c r="E7" i="9"/>
  <c r="E7" i="8"/>
  <c r="E9" i="12"/>
  <c r="E7" i="6"/>
  <c r="E9" i="5"/>
  <c r="E8" i="4"/>
  <c r="E7" i="3"/>
  <c r="E4" i="2" l="1"/>
  <c r="E5" i="2"/>
  <c r="E6" i="2"/>
  <c r="D6" i="2"/>
  <c r="D5" i="2"/>
  <c r="D4" i="2"/>
  <c r="E7" i="1"/>
  <c r="E6" i="1"/>
  <c r="E5" i="1"/>
  <c r="E4" i="1"/>
  <c r="D7" i="1"/>
  <c r="D6" i="1"/>
  <c r="E3" i="1"/>
  <c r="D5" i="1"/>
  <c r="D4" i="1"/>
  <c r="E3" i="11"/>
  <c r="E5" i="11"/>
  <c r="E4" i="11"/>
  <c r="D5" i="11"/>
  <c r="D4" i="11"/>
  <c r="AD1" i="45"/>
  <c r="Y1" i="45"/>
  <c r="T1" i="45"/>
  <c r="O1" i="45"/>
  <c r="J1" i="45"/>
  <c r="AI1" i="45"/>
  <c r="E7" i="2" l="1"/>
  <c r="E8" i="1"/>
  <c r="E6" i="11"/>
  <c r="F1" i="25" l="1"/>
  <c r="F1" i="39"/>
  <c r="F1" i="41"/>
  <c r="F1" i="43"/>
  <c r="F1" i="27"/>
  <c r="F1" i="36"/>
  <c r="F1" i="35"/>
  <c r="F1" i="34"/>
  <c r="F1" i="23"/>
  <c r="F1" i="17"/>
  <c r="F1" i="15"/>
  <c r="F1" i="14"/>
  <c r="F1" i="18"/>
  <c r="D11" i="20"/>
  <c r="D10" i="20"/>
  <c r="D9" i="20"/>
  <c r="F9" i="20" s="1"/>
  <c r="D8" i="20"/>
  <c r="F8" i="20" s="1"/>
  <c r="D7" i="20"/>
  <c r="D6" i="20"/>
  <c r="D5" i="20"/>
  <c r="F5" i="20" s="1"/>
  <c r="D4" i="20"/>
  <c r="F4" i="20" s="1"/>
  <c r="D3" i="20"/>
  <c r="D2" i="20"/>
  <c r="F1" i="20"/>
  <c r="F7" i="21"/>
  <c r="F1" i="21"/>
  <c r="D2" i="21"/>
  <c r="F2" i="21" s="1"/>
  <c r="F1" i="29"/>
  <c r="C1" i="29"/>
  <c r="G3" i="20" l="1"/>
  <c r="G10" i="20"/>
  <c r="G11" i="20"/>
  <c r="G2" i="20"/>
  <c r="G6" i="20"/>
  <c r="G7" i="20"/>
  <c r="F7" i="20"/>
  <c r="G8" i="20"/>
  <c r="F6" i="20"/>
  <c r="G9" i="20"/>
  <c r="F10" i="20"/>
  <c r="G5" i="20"/>
  <c r="D13" i="20"/>
  <c r="F11" i="20"/>
  <c r="G4" i="20"/>
  <c r="F2" i="20"/>
  <c r="F3" i="20"/>
  <c r="X7" i="45"/>
  <c r="Y7" i="45" s="1"/>
  <c r="G13" i="20" l="1"/>
  <c r="AH3" i="45"/>
  <c r="AI3" i="45" s="1"/>
  <c r="AH4" i="45"/>
  <c r="AI4" i="45" s="1"/>
  <c r="AH5" i="45"/>
  <c r="AI5" i="45" s="1"/>
  <c r="AH6" i="45"/>
  <c r="AI6" i="45" s="1"/>
  <c r="AH7" i="45"/>
  <c r="AI7" i="45" s="1"/>
  <c r="AC7" i="45"/>
  <c r="AD7" i="45" s="1"/>
  <c r="AC6" i="45"/>
  <c r="AD6" i="45" s="1"/>
  <c r="AC5" i="45"/>
  <c r="AD5" i="45" s="1"/>
  <c r="AC4" i="45"/>
  <c r="AD4" i="45" s="1"/>
  <c r="AC3" i="45"/>
  <c r="AD3" i="45" s="1"/>
  <c r="AH2" i="45"/>
  <c r="AI2" i="45" s="1"/>
  <c r="AC2" i="45"/>
  <c r="AD2" i="45" s="1"/>
  <c r="X6" i="45"/>
  <c r="Y6" i="45" s="1"/>
  <c r="X5" i="45"/>
  <c r="Y5" i="45" s="1"/>
  <c r="X4" i="45"/>
  <c r="Y4" i="45" s="1"/>
  <c r="X2" i="45"/>
  <c r="Y2" i="45" s="1"/>
  <c r="X3" i="45"/>
  <c r="Y3" i="45" s="1"/>
  <c r="S7" i="45"/>
  <c r="T7" i="45" s="1"/>
  <c r="S6" i="45"/>
  <c r="T6" i="45" s="1"/>
  <c r="S5" i="45"/>
  <c r="T5" i="45" s="1"/>
  <c r="S4" i="45"/>
  <c r="T4" i="45" s="1"/>
  <c r="S2" i="45"/>
  <c r="T2" i="45" s="1"/>
  <c r="S3" i="45"/>
  <c r="T3" i="45" s="1"/>
  <c r="N7" i="45"/>
  <c r="O7" i="45" s="1"/>
  <c r="N6" i="45"/>
  <c r="O6" i="45" s="1"/>
  <c r="N5" i="45"/>
  <c r="O5" i="45" s="1"/>
  <c r="N4" i="45"/>
  <c r="O4" i="45" s="1"/>
  <c r="N3" i="45"/>
  <c r="N2" i="45"/>
  <c r="O2" i="45" s="1"/>
  <c r="I7" i="45"/>
  <c r="J7" i="45" s="1"/>
  <c r="I6" i="45"/>
  <c r="J6" i="45" s="1"/>
  <c r="I5" i="45"/>
  <c r="J5" i="45" s="1"/>
  <c r="I4" i="45"/>
  <c r="J4" i="45" s="1"/>
  <c r="I3" i="45"/>
  <c r="J3" i="45" s="1"/>
  <c r="I2" i="45"/>
  <c r="J2" i="45" s="1"/>
  <c r="D3" i="34"/>
  <c r="D6" i="34"/>
  <c r="D5" i="34"/>
  <c r="D4" i="34"/>
  <c r="D2" i="34"/>
  <c r="D6" i="35"/>
  <c r="D5" i="35"/>
  <c r="D4" i="35"/>
  <c r="D3" i="35"/>
  <c r="D2" i="35"/>
  <c r="D6" i="43"/>
  <c r="F6" i="43" s="1"/>
  <c r="D5" i="43"/>
  <c r="F5" i="43" s="1"/>
  <c r="D4" i="43"/>
  <c r="F4" i="43" s="1"/>
  <c r="D3" i="43"/>
  <c r="F3" i="43" s="1"/>
  <c r="D2" i="43"/>
  <c r="D6" i="41"/>
  <c r="D5" i="41"/>
  <c r="D4" i="41"/>
  <c r="D3" i="41"/>
  <c r="D2" i="41"/>
  <c r="D6" i="39"/>
  <c r="D5" i="39"/>
  <c r="D4" i="39"/>
  <c r="D3" i="39"/>
  <c r="D2" i="39"/>
  <c r="D2" i="15"/>
  <c r="D3" i="15"/>
  <c r="D6" i="36"/>
  <c r="D2" i="36"/>
  <c r="D5" i="36"/>
  <c r="D4" i="36"/>
  <c r="D3" i="36"/>
  <c r="D8" i="18"/>
  <c r="D7" i="25"/>
  <c r="D14" i="15"/>
  <c r="D10" i="14"/>
  <c r="D9" i="14"/>
  <c r="D16" i="15"/>
  <c r="D2" i="14"/>
  <c r="D10" i="29"/>
  <c r="D9" i="29"/>
  <c r="D8" i="29"/>
  <c r="D7" i="29"/>
  <c r="D6" i="29"/>
  <c r="D5" i="29"/>
  <c r="D4" i="29"/>
  <c r="D3" i="29"/>
  <c r="D2" i="29"/>
  <c r="D6" i="27"/>
  <c r="D5" i="27"/>
  <c r="D4" i="27"/>
  <c r="D3" i="27"/>
  <c r="D2" i="27"/>
  <c r="D6" i="25"/>
  <c r="D5" i="25"/>
  <c r="D4" i="25"/>
  <c r="D3" i="25"/>
  <c r="D2" i="25"/>
  <c r="D8" i="23"/>
  <c r="D7" i="23"/>
  <c r="D6" i="23"/>
  <c r="D5" i="23"/>
  <c r="D4" i="23"/>
  <c r="D3" i="23"/>
  <c r="D2" i="23"/>
  <c r="D6" i="21"/>
  <c r="D5" i="21"/>
  <c r="D4" i="21"/>
  <c r="D3" i="21"/>
  <c r="D7" i="18"/>
  <c r="D6" i="18"/>
  <c r="D5" i="18"/>
  <c r="D4" i="18"/>
  <c r="D3" i="18"/>
  <c r="D2" i="18"/>
  <c r="D12" i="17"/>
  <c r="D11" i="17"/>
  <c r="D10" i="17"/>
  <c r="D9" i="17"/>
  <c r="D8" i="17"/>
  <c r="D7" i="17"/>
  <c r="D6" i="17"/>
  <c r="D5" i="17"/>
  <c r="D4" i="17"/>
  <c r="D3" i="17"/>
  <c r="D2" i="17"/>
  <c r="D15" i="15"/>
  <c r="D13" i="15"/>
  <c r="D12" i="15"/>
  <c r="D11" i="15"/>
  <c r="D10" i="15"/>
  <c r="D9" i="15"/>
  <c r="D8" i="15"/>
  <c r="D7" i="15"/>
  <c r="D6" i="15"/>
  <c r="D5" i="15"/>
  <c r="D4" i="15"/>
  <c r="D12" i="14"/>
  <c r="D11" i="14"/>
  <c r="D8" i="14"/>
  <c r="D7" i="14"/>
  <c r="D6" i="14"/>
  <c r="D5" i="14"/>
  <c r="D4" i="14"/>
  <c r="D3" i="14"/>
  <c r="P3" i="45" l="1"/>
  <c r="O3" i="45"/>
  <c r="G9" i="29"/>
  <c r="AJ2" i="45"/>
  <c r="G3" i="18"/>
  <c r="U5" i="45"/>
  <c r="AE2" i="45"/>
  <c r="K2" i="45"/>
  <c r="G11" i="14"/>
  <c r="F11" i="14"/>
  <c r="G8" i="23"/>
  <c r="F8" i="23"/>
  <c r="G4" i="27"/>
  <c r="F4" i="27"/>
  <c r="G7" i="29"/>
  <c r="G14" i="15"/>
  <c r="F14" i="15"/>
  <c r="G3" i="15"/>
  <c r="F3" i="15"/>
  <c r="G3" i="41"/>
  <c r="F3" i="41"/>
  <c r="F5" i="34"/>
  <c r="G5" i="34"/>
  <c r="K7" i="45"/>
  <c r="U2" i="45"/>
  <c r="Z5" i="45"/>
  <c r="AE7" i="45"/>
  <c r="F2" i="25"/>
  <c r="G2" i="25"/>
  <c r="D9" i="25"/>
  <c r="G5" i="27"/>
  <c r="F5" i="27"/>
  <c r="G8" i="29"/>
  <c r="G7" i="25"/>
  <c r="F7" i="25"/>
  <c r="G2" i="15"/>
  <c r="F2" i="15"/>
  <c r="D18" i="15"/>
  <c r="F4" i="41"/>
  <c r="G4" i="41"/>
  <c r="D8" i="35"/>
  <c r="G2" i="35"/>
  <c r="F2" i="35"/>
  <c r="F6" i="34"/>
  <c r="G6" i="34"/>
  <c r="P2" i="45"/>
  <c r="U4" i="45"/>
  <c r="Z6" i="45"/>
  <c r="AJ7" i="45"/>
  <c r="D10" i="18"/>
  <c r="G2" i="18"/>
  <c r="G11" i="15"/>
  <c r="F11" i="15"/>
  <c r="F6" i="17"/>
  <c r="G6" i="17"/>
  <c r="G3" i="14"/>
  <c r="F3" i="14"/>
  <c r="G4" i="15"/>
  <c r="F4" i="15"/>
  <c r="F7" i="17"/>
  <c r="G7" i="17"/>
  <c r="D10" i="23"/>
  <c r="G2" i="23"/>
  <c r="F2" i="23"/>
  <c r="F3" i="25"/>
  <c r="G3" i="25"/>
  <c r="F6" i="27"/>
  <c r="G6" i="27"/>
  <c r="G8" i="18"/>
  <c r="G2" i="39"/>
  <c r="F2" i="39"/>
  <c r="D8" i="39"/>
  <c r="G5" i="41"/>
  <c r="F5" i="41"/>
  <c r="F3" i="35"/>
  <c r="G3" i="35"/>
  <c r="F3" i="34"/>
  <c r="G3" i="34"/>
  <c r="AJ6" i="45"/>
  <c r="G5" i="18"/>
  <c r="G3" i="23"/>
  <c r="F3" i="23"/>
  <c r="F4" i="25"/>
  <c r="G4" i="25"/>
  <c r="G2" i="29"/>
  <c r="D12" i="29"/>
  <c r="G10" i="29"/>
  <c r="F3" i="36"/>
  <c r="G3" i="36"/>
  <c r="G3" i="39"/>
  <c r="F3" i="39"/>
  <c r="G6" i="41"/>
  <c r="F6" i="41"/>
  <c r="G4" i="35"/>
  <c r="F4" i="35"/>
  <c r="P4" i="45"/>
  <c r="U6" i="45"/>
  <c r="AJ5" i="45"/>
  <c r="G12" i="15"/>
  <c r="F12" i="15"/>
  <c r="G4" i="14"/>
  <c r="F4" i="14"/>
  <c r="G5" i="15"/>
  <c r="F5" i="15"/>
  <c r="F8" i="17"/>
  <c r="G8" i="17"/>
  <c r="G5" i="14"/>
  <c r="F5" i="14"/>
  <c r="G6" i="18"/>
  <c r="G4" i="23"/>
  <c r="F4" i="23"/>
  <c r="F5" i="25"/>
  <c r="G5" i="25"/>
  <c r="G3" i="29"/>
  <c r="D14" i="14"/>
  <c r="G2" i="14"/>
  <c r="F2" i="14"/>
  <c r="F4" i="36"/>
  <c r="G4" i="36"/>
  <c r="G4" i="39"/>
  <c r="F4" i="39"/>
  <c r="D8" i="43"/>
  <c r="F2" i="43"/>
  <c r="G5" i="35"/>
  <c r="F5" i="35"/>
  <c r="K3" i="45"/>
  <c r="P5" i="45"/>
  <c r="U7" i="45"/>
  <c r="AE3" i="45"/>
  <c r="AJ4" i="45"/>
  <c r="G10" i="15"/>
  <c r="F10" i="15"/>
  <c r="F5" i="17"/>
  <c r="G5" i="17"/>
  <c r="G12" i="14"/>
  <c r="F12" i="14"/>
  <c r="G7" i="18"/>
  <c r="G5" i="23"/>
  <c r="F5" i="23"/>
  <c r="F6" i="25"/>
  <c r="G6" i="25"/>
  <c r="G4" i="29"/>
  <c r="G16" i="15"/>
  <c r="F16" i="15"/>
  <c r="F5" i="36"/>
  <c r="G5" i="36"/>
  <c r="G5" i="39"/>
  <c r="F5" i="39"/>
  <c r="G6" i="35"/>
  <c r="F6" i="35"/>
  <c r="K4" i="45"/>
  <c r="P6" i="45"/>
  <c r="Z3" i="45"/>
  <c r="AE4" i="45"/>
  <c r="AJ3" i="45"/>
  <c r="G4" i="18"/>
  <c r="G13" i="15"/>
  <c r="F13" i="15"/>
  <c r="G6" i="15"/>
  <c r="F6" i="15"/>
  <c r="G15" i="15"/>
  <c r="F15" i="15"/>
  <c r="G9" i="17"/>
  <c r="F9" i="17"/>
  <c r="G6" i="14"/>
  <c r="F6" i="14"/>
  <c r="G7" i="15"/>
  <c r="F7" i="15"/>
  <c r="G2" i="17"/>
  <c r="D14" i="17"/>
  <c r="F2" i="17"/>
  <c r="G10" i="17"/>
  <c r="F10" i="17"/>
  <c r="G7" i="14"/>
  <c r="F7" i="14"/>
  <c r="G8" i="15"/>
  <c r="F8" i="15"/>
  <c r="G3" i="17"/>
  <c r="F3" i="17"/>
  <c r="G11" i="17"/>
  <c r="F11" i="17"/>
  <c r="G6" i="23"/>
  <c r="F6" i="23"/>
  <c r="F2" i="27"/>
  <c r="D8" i="27"/>
  <c r="G2" i="27"/>
  <c r="G5" i="29"/>
  <c r="G9" i="14"/>
  <c r="F9" i="14"/>
  <c r="D8" i="36"/>
  <c r="F2" i="36"/>
  <c r="G2" i="36"/>
  <c r="G6" i="39"/>
  <c r="F6" i="39"/>
  <c r="G2" i="34"/>
  <c r="D8" i="34"/>
  <c r="F2" i="34"/>
  <c r="K5" i="45"/>
  <c r="P7" i="45"/>
  <c r="X9" i="45"/>
  <c r="Z2" i="45"/>
  <c r="AE5" i="45"/>
  <c r="Z7" i="45"/>
  <c r="G8" i="14"/>
  <c r="F8" i="14"/>
  <c r="G9" i="15"/>
  <c r="F9" i="15"/>
  <c r="G4" i="17"/>
  <c r="F4" i="17"/>
  <c r="G12" i="17"/>
  <c r="F12" i="17"/>
  <c r="G7" i="23"/>
  <c r="F7" i="23"/>
  <c r="G3" i="27"/>
  <c r="F3" i="27"/>
  <c r="G6" i="29"/>
  <c r="G10" i="14"/>
  <c r="F10" i="14"/>
  <c r="F6" i="36"/>
  <c r="G6" i="36"/>
  <c r="D8" i="41"/>
  <c r="G2" i="41"/>
  <c r="F2" i="41"/>
  <c r="F4" i="34"/>
  <c r="G4" i="34"/>
  <c r="K6" i="45"/>
  <c r="U3" i="45"/>
  <c r="Z4" i="45"/>
  <c r="AE6" i="45"/>
  <c r="G5" i="43"/>
  <c r="G3" i="43"/>
  <c r="F8" i="18"/>
  <c r="F3" i="18"/>
  <c r="F7" i="18"/>
  <c r="F4" i="18"/>
  <c r="F6" i="18"/>
  <c r="F5" i="18"/>
  <c r="F2" i="18"/>
  <c r="F6" i="21"/>
  <c r="G6" i="21"/>
  <c r="G3" i="21"/>
  <c r="F3" i="21"/>
  <c r="G2" i="21"/>
  <c r="D9" i="21"/>
  <c r="G7" i="21"/>
  <c r="F4" i="21"/>
  <c r="G4" i="21"/>
  <c r="F5" i="21"/>
  <c r="G5" i="21"/>
  <c r="F2" i="29"/>
  <c r="F10" i="29"/>
  <c r="F3" i="29"/>
  <c r="G6" i="43"/>
  <c r="F4" i="29"/>
  <c r="F5" i="29"/>
  <c r="F6" i="29"/>
  <c r="F7" i="29"/>
  <c r="G2" i="43"/>
  <c r="F8" i="29"/>
  <c r="F9" i="29"/>
  <c r="G4" i="43"/>
  <c r="N9" i="45"/>
  <c r="S9" i="45"/>
  <c r="AC9" i="45"/>
  <c r="AH9" i="45"/>
  <c r="I9" i="45"/>
  <c r="AJ9" i="45" l="1"/>
  <c r="G8" i="27"/>
  <c r="G8" i="41"/>
  <c r="K9" i="45"/>
  <c r="AE9" i="45"/>
  <c r="G14" i="14"/>
  <c r="G9" i="21"/>
  <c r="G8" i="34"/>
  <c r="G12" i="29"/>
  <c r="G8" i="39"/>
  <c r="P9" i="45"/>
  <c r="G9" i="25"/>
  <c r="G8" i="43"/>
  <c r="Z9" i="45"/>
  <c r="G14" i="17"/>
  <c r="G18" i="15"/>
  <c r="G8" i="36"/>
  <c r="G10" i="18"/>
  <c r="G10" i="23"/>
  <c r="G8" i="35"/>
  <c r="U9" i="45"/>
</calcChain>
</file>

<file path=xl/sharedStrings.xml><?xml version="1.0" encoding="utf-8"?>
<sst xmlns="http://schemas.openxmlformats.org/spreadsheetml/2006/main" count="5961" uniqueCount="767">
  <si>
    <t>Étiquettes de lignes</t>
  </si>
  <si>
    <t>Nombre de Si vous avez coché sage-femme diplômé(e), depuis combien de temps exercez-vous ?</t>
  </si>
  <si>
    <t>Moins de 2 ans</t>
  </si>
  <si>
    <t>2 à 5 ans</t>
  </si>
  <si>
    <t>5 à 10 ans</t>
  </si>
  <si>
    <t>Plus de 10 ans</t>
  </si>
  <si>
    <t>Total général</t>
  </si>
  <si>
    <t>Hospitalier</t>
  </si>
  <si>
    <t>Libéral</t>
  </si>
  <si>
    <t>Mixte</t>
  </si>
  <si>
    <t>Nombre de Avez-vous accès, au sein de votre structure, à un réseau d’ostéopathes vers lesquels orienter vos patientes ?</t>
  </si>
  <si>
    <t>Non</t>
  </si>
  <si>
    <t>Oui</t>
  </si>
  <si>
    <t>Sans avis</t>
  </si>
  <si>
    <t>Nombre de La collaboration avec un(e) ostéopathe fait-elle partie intégrante de votre pratique ?</t>
  </si>
  <si>
    <t>Oui, occasionnellement (&gt; ou = à 1 fois par mois)</t>
  </si>
  <si>
    <t>Oui, rarement (&lt; à 1 fois par mois)</t>
  </si>
  <si>
    <t>Oui, régulièrement (&gt; ou = à 1 fois par semaine)</t>
  </si>
  <si>
    <t>Nombre de A quelle fréquence rencontrez-vous des patientes présentant un syndrome de Lacomme ?</t>
  </si>
  <si>
    <t>A chaque suivi</t>
  </si>
  <si>
    <t>Fréquemment (&gt; ou = à 1 fois par semaine)</t>
  </si>
  <si>
    <t>Occasionnellement (&gt; ou = à 1 fois par mois)</t>
  </si>
  <si>
    <t>Rarement (&gt; ou = à 1 fois tous les 3 mois)</t>
  </si>
  <si>
    <t>Jamais</t>
  </si>
  <si>
    <t>Nombre de Estimez-vous qu’il y a un retard diagnostic à la prise en charge de ce syndrome ?</t>
  </si>
  <si>
    <t>Si oui, à quel moment ?</t>
  </si>
  <si>
    <t>Dès les premiers symptômes</t>
  </si>
  <si>
    <t>En cas d’absence de réussite d’autres prises en charge</t>
  </si>
  <si>
    <t>En fin de grossesse</t>
  </si>
  <si>
    <t>En post-partum</t>
  </si>
  <si>
    <t>Prise en charge prénatale et post-partum</t>
  </si>
  <si>
    <t xml:space="preserve">   </t>
  </si>
  <si>
    <t>Nombre de Les recommandations officielles (HAS, CNGOF, Ordre des sages-femmes) influencent-elles votre décision d’orienter vers l’ostéopathie ?</t>
  </si>
  <si>
    <t>Nombre de Pensez-vous que la collaboration entre sages-femmes et ostéopathes pourrait améliorer la prise en charge des femmes enceintes ?</t>
  </si>
  <si>
    <t>Nombre de Seriez-vous favorable à l’intégration d’ostéopathes dans les équipes pluridisciplinaires périnatales ?</t>
  </si>
  <si>
    <t>Étudiant(e) sage-femme en 5e année</t>
  </si>
  <si>
    <t>Sage-femme diplômé(e)</t>
  </si>
  <si>
    <t>Êtes-vous</t>
  </si>
  <si>
    <t>Dans quelle structure exercez-vous ?</t>
  </si>
  <si>
    <t>Sur une échelle de 1 à 5, comment évalueriez-vous votre niveau de connaissance de l’ostéopathie ?</t>
  </si>
  <si>
    <t>Quelle est selon vous, la place de l’ostéopathie dans la prise en charge globale de la femme enceinte ?</t>
  </si>
  <si>
    <t>Vous sentez-vous suffisamment informé(e) sur l’ostéopathie et ses indications durant la grossesse ?</t>
  </si>
  <si>
    <t>Si oui, dans quel(s) cadre(s) ?</t>
  </si>
  <si>
    <t>Comment estimez-vous vos connaissances concernant le syndrome de Lacomme (douleurs ligamentaires lombo-pelviennes de grossesse) ?</t>
  </si>
  <si>
    <t>Comment identifiez-vous ce syndrome dans votre pratique ?</t>
  </si>
  <si>
    <t>Si oui, quelles sont les principales raisons de ce retard diagnostic ?</t>
  </si>
  <si>
    <t>Classez les différentes prises en charge dans l’ordre que vous recommanderiez pour une patiente atteinte du syndrome de Lacomme : [Premier choix ]</t>
  </si>
  <si>
    <t>Classez les différentes prises en charge dans l’ordre que vous recommanderiez pour une patiente atteinte du syndrome de Lacomme : [Second choix ]</t>
  </si>
  <si>
    <t>Classez les différentes prises en charge dans l’ordre que vous recommanderiez pour une patiente atteinte du syndrome de Lacomme : [Troisième choix ]</t>
  </si>
  <si>
    <t>Classez les différentes prises en charge dans l’ordre que vous recommanderiez pour une patiente atteinte du syndrome de Lacomme : [Quatrième choix ]</t>
  </si>
  <si>
    <t>Classez les différentes prises en charge dans l’ordre que vous recommanderiez pour une patiente atteinte du syndrome de Lacomme : [Cinquième choix ]</t>
  </si>
  <si>
    <t>Classez les différentes prises en charge dans l’ordre que vous recommanderiez pour une patiente atteinte du syndrome de Lacomme : [Sixième choix ]</t>
  </si>
  <si>
    <t>Pensez-vous que l'ostéopathie constitue une approche pertinente pour traiter le syndrome de Lacomme et qu’elle mérite d’être recommandée aux patientes concernées ?</t>
  </si>
  <si>
    <t>Pensez-vous que les patientes sont suffisamment informées sur les possibilités de prises en charge ostéopathiques du syndrome de Lacomme ?</t>
  </si>
  <si>
    <t>Quels sont les facteurs qui permettraient de favoriser l’intégration de l’ostéopathie dans la prise en charge du syndrome de Lacomme ?</t>
  </si>
  <si>
    <t>Quels sont, selon vous, les freins à l’intégration de l’ostéopathie dans la pratique sage-femme ?</t>
  </si>
  <si>
    <t>Quels sont les facteurs qui influencent votre décision de recommander ou non l’ostéopathie ?</t>
  </si>
  <si>
    <t>Quels éléments pourraient favoriser une meilleure collaboration entre sages-femmes et ostéopathes ?</t>
  </si>
  <si>
    <t>Souhaitez-vous partager une expérience ou un avis personnel concernant l’ostéopathie dans la prise en charge du syndrome de Lacomme ?</t>
  </si>
  <si>
    <t>Souhaitez-vous partager une expérience ou un avis personnel concernant l’ostéopathie et la collaboration avec les sages-femmes ?</t>
  </si>
  <si>
    <t>Y a-t-il un élément ou un commentaire supplémentaire que vous souhaiteriez apporter ?</t>
  </si>
  <si>
    <t>Douleurs lombaires et/ou pelviennes, Post-partum, Allaitement, Nouveau-né</t>
  </si>
  <si>
    <t>Interrogatoire</t>
  </si>
  <si>
    <t>Absence de recommandations professionnelles claires</t>
  </si>
  <si>
    <t>Exercices/Etirements</t>
  </si>
  <si>
    <t>Ostéopathie</t>
  </si>
  <si>
    <t>Conseils posturaux</t>
  </si>
  <si>
    <t>Traitements médicamenteux (antalgiques/analgésiques)</t>
  </si>
  <si>
    <t>Ceinture de maintien/Support pelvien</t>
  </si>
  <si>
    <t>Repos/Limitation de mouvement</t>
  </si>
  <si>
    <t>Preuves scientifiques, Réduction du coût des séances pour les patientes, Reconnaissance institutionnelle</t>
  </si>
  <si>
    <t>Peu de contenus pédagogiques sur les principes ostéopathiques inscrits au parcours académique, Absence de connaissances sur la pratique ostéopathique, Insuffisance de preuves scientifiques, Coût pour les patientes, Absence de reconnaissance institutionnelle</t>
  </si>
  <si>
    <t>Motivation des patientes pour une prise en charge manuelle complémentaire</t>
  </si>
  <si>
    <t>Preuves de résultats positifs des traitements ostéopathiques, Demande des patientes, Encadrement institutionnel et recommandations officielles</t>
  </si>
  <si>
    <t>Le syndrome de Lacomme est beaucoup expliqué par les SF comme « maux qui font partie des symptômes de la grossesse » et donc plutôt un discours de « ça passera »</t>
  </si>
  <si>
    <t xml:space="preserve">Banalisation du syndrome de Lacomme, Absence de connaissances sur le syndrome de Lacomme </t>
  </si>
  <si>
    <t>Suivi prénatal de grossesse, Douleurs lombaires et/ou pelviennes</t>
  </si>
  <si>
    <t>Contenus pédagogiques sur les principes ostéopathiques inscrits au parcours académique, Réduction du coût des séances pour les patientes, Intégration de l’ostéopathie dans les structures de santé</t>
  </si>
  <si>
    <t>Absence de connaissances sur la pratique ostéopathique, Insuffisance de collaboration interprofessionnelle avec des ostéopathes, Coût pour les patientes, Absence de reconnaissance institutionnelle</t>
  </si>
  <si>
    <t>Caractère chronique ou aigu des douleurs, Spécialisation de l’ostéopathe en périnatalité, Motivation des patientes pour une prise en charge manuelle complémentaire, Disponibilité et/ou accessibilité d’ostéopathes dans votre réseau, Collaboration interprofessionnelle préexistante, Convictions personnelles concernant cette approche thérapeutique</t>
  </si>
  <si>
    <t>Preuves de résultats positifs des traitements ostéopathiques, Formations sémiologiques supplémentaires des ostéopathes, Mise en place de protocoles règlementés</t>
  </si>
  <si>
    <t>Interrogatoire, Examen clinique, En excluant d’autres causes possibles de douleurs pelviennes pendant la grossesse</t>
  </si>
  <si>
    <t>Absence de formation spécifique sur le syndrome, Assimilation du syndrome à des lombalgies non spécifiques</t>
  </si>
  <si>
    <t>Contenus pédagogiques sur les principes ostéopathiques inscrits au parcours académique, Preuves scientifiques, Réduction du coût des séances pour les patientes</t>
  </si>
  <si>
    <t>Peu de contenus pédagogiques sur les principes ostéopathiques inscrits au parcours académique, Absence de connaissances sur la pratique ostéopathique, Insuffisance de preuves scientifiques, Coût pour les patientes</t>
  </si>
  <si>
    <t>Spécialisation de l’ostéopathe en périnatalité, Motivation des patientes pour une prise en charge manuelle complémentaire</t>
  </si>
  <si>
    <t>Preuves de résultats positifs des traitements ostéopathiques, Encadrement institutionnel et recommandations officielles</t>
  </si>
  <si>
    <t>Douleurs lombaires et/ou pelviennes</t>
  </si>
  <si>
    <t>Interrogatoire, Examen clinique</t>
  </si>
  <si>
    <t>Sous-estimation des plaintes des patientes</t>
  </si>
  <si>
    <t>Repos/Limitation de mouvement, Conseils posturaux</t>
  </si>
  <si>
    <t>Contenus pédagogiques sur les principes ostéopathiques inscrits au parcours académique, Reconnaissance institutionnelle</t>
  </si>
  <si>
    <t>Peu de contenus pédagogiques sur les principes ostéopathiques inscrits au parcours académique, Absence de connaissances sur la pratique ostéopathique</t>
  </si>
  <si>
    <t>Mise en place de protocoles règlementés, Encadrement institutionnel et recommandations officielles</t>
  </si>
  <si>
    <t>Douleurs lombaires et/ou pelviennes, Post-partum</t>
  </si>
  <si>
    <t>Contenus pédagogiques sur les principes ostéopathiques inscrits au parcours académique, Retours de patientes, Preuves scientifiques, Médiatisation/Réseaux sociaux, Réduction du coût des séances pour les patientes, Reconnaissance institutionnelle, Intégration de l’ostéopathie dans les structures de santé</t>
  </si>
  <si>
    <t>Peu de contenus pédagogiques sur les principes ostéopathiques inscrits au parcours académique, Absence de connaissances sur la pratique ostéopathique, Insuffisance de preuves scientifiques</t>
  </si>
  <si>
    <t>Caractère chronique ou aigu des douleurs, Réponse ou non aux autres traitements, Motivation des patientes pour une prise en charge manuelle complémentaire, Disponibilité et/ou accessibilité d’ostéopathes dans votre réseau</t>
  </si>
  <si>
    <t>Preuves de résultats positifs des traitements ostéopathiques, Demande des patientes, Formations sémiologiques supplémentaires des ostéopathes, Recommandations par d’autres professionnels de santé, Absence ou inefficacité d’autres solutions thérapeutiques, Mise en place de protocoles règlementés, Encadrement institutionnel et recommandations officielles</t>
  </si>
  <si>
    <t>Suivi prénatal de grossesse, Douleurs lombaires et/ou pelviennes, Post-partum</t>
  </si>
  <si>
    <t>Retours de patientes, Intégration de l’ostéopathie dans les structures de santé</t>
  </si>
  <si>
    <t>Caractère chronique ou aigu des douleurs, Spécialisation de l’ostéopathe en périnatalité, Motivation des patientes pour une prise en charge manuelle complémentaire, Expérience personnelle antérieure positive ou négative avec l’ostéopathie</t>
  </si>
  <si>
    <t xml:space="preserve">Douleurs lombaires et/ou pelviennes, Nouveau-né </t>
  </si>
  <si>
    <t>Interrogatoire, En excluant d’autres causes possibles de douleurs pelviennes pendant la grossesse</t>
  </si>
  <si>
    <t>Absence de formation spécifique sur le syndrome, Sous-estimation des plaintes des patientes</t>
  </si>
  <si>
    <t>Contenus pédagogiques sur les principes ostéopathiques inscrits au parcours académique, Preuves scientifiques, Médiatisation/Réseaux sociaux, Réduction du coût des séances pour les patientes</t>
  </si>
  <si>
    <t>Peu de contenus pédagogiques sur les principes ostéopathiques inscrits au parcours académique, Insuffisance de collaboration interprofessionnelle avec des ostéopathes, Coût pour les patientes</t>
  </si>
  <si>
    <t>Caractère chronique ou aigu des douleurs, Réponse ou non aux autres traitements, Spécialisation de l’ostéopathe en périnatalité, Motivation des patientes pour une prise en charge manuelle complémentaire, Disponibilité et/ou accessibilité d’ostéopathes dans votre réseau</t>
  </si>
  <si>
    <t>Preuves de résultats positifs des traitements ostéopathiques, Demande des patientes, Formations sémiologiques supplémentaires des ostéopathes, Mise en place de protocoles règlementés, Encadrement institutionnel et recommandations officielles</t>
  </si>
  <si>
    <t>Absence de formation spécifique sur le syndrome, Sous-estimation des plaintes des patientes, Absence de recommandations professionnelles claires</t>
  </si>
  <si>
    <t>Contenus pédagogiques sur les principes ostéopathiques inscrits au parcours académique, Retours de patientes, Reconnaissance institutionnelle, Intégration de l’ostéopathie dans les structures de santé</t>
  </si>
  <si>
    <t>Peu de contenus pédagogiques sur les principes ostéopathiques inscrits au parcours académique, Absence de connaissances sur la pratique ostéopathique, Insuffisance de collaboration interprofessionnelle avec des ostéopathes, Absence de reconnaissance institutionnelle</t>
  </si>
  <si>
    <t>Caractère chronique ou aigu des douleurs, Motivation des patientes pour une prise en charge manuelle complémentaire, Collaboration interprofessionnelle préexistante</t>
  </si>
  <si>
    <t>Preuves de résultats positifs des traitements ostéopathiques, Demande des patientes, Mise en place de protocoles règlementés, Encadrement institutionnel et recommandations officielles</t>
  </si>
  <si>
    <t>Douleurs lombaires et/ou pelviennes, Troubles digestifs associés, Post-partum, Allaitement</t>
  </si>
  <si>
    <t>Absence de formation spécifique sur le syndrome, Assimilation du syndrome à des lombalgies non spécifiques, Difficultés d’accès aux thérapies non médicamenteuses, Absence de recommandations professionnelles claires</t>
  </si>
  <si>
    <t>Preuves scientifiques, Réduction du coût des séances pour les patientes, Reconnaissance institutionnelle, Intégration de l’ostéopathie dans les structures de santé</t>
  </si>
  <si>
    <t>Absence de connaissances sur la pratique ostéopathique, Coût pour les patientes, Absence de reconnaissance institutionnelle</t>
  </si>
  <si>
    <t>Preuves de résultats positifs des traitements ostéopathiques, Formations sémiologiques supplémentaires des ostéopathes, Absence ou inefficacité d’autres solutions thérapeutiques, Mise en place de protocoles règlementés, Encadrement institutionnel et recommandations officielles</t>
  </si>
  <si>
    <t>Douleurs lombaires et/ou pelviennes, Post-partum, Allaitement</t>
  </si>
  <si>
    <t>Absence de formation spécifique sur le syndrome, Assimilation du syndrome à des lombalgies non spécifiques, Absence de recommandations professionnelles claires</t>
  </si>
  <si>
    <t>Contenus pédagogiques sur les principes ostéopathiques inscrits au parcours académique, Preuves scientifiques, Médiatisation/Réseaux sociaux, Réduction du coût des séances pour les patientes, Intégration de l’ostéopathie dans les structures de santé</t>
  </si>
  <si>
    <t>Peu de contenus pédagogiques sur les principes ostéopathiques inscrits au parcours académique, Absence de connaissances sur la pratique ostéopathique, Insuffisance de preuves scientifiques, Insuffisance de collaboration interprofessionnelle avec des ostéopathes</t>
  </si>
  <si>
    <t>Caractère chronique ou aigu des douleurs, 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 Convictions personnelles concernant cette approche thérapeutique, Expérience personnelle antérieure positive ou négative avec l’ostéopathie</t>
  </si>
  <si>
    <t>Formations sémiologiques supplémentaires des ostéopathes, Recommandations par d’autres professionnels de santé</t>
  </si>
  <si>
    <t>Suivi prénatal de grossesse, Préparation à l’accouchement, Douleurs lombaires et/ou pelviennes, Post-partum</t>
  </si>
  <si>
    <t>Absence de formation spécifique sur le syndrome, Difficultés d’accès aux thérapies non médicamenteuses, Absence de recommandations professionnelles claires</t>
  </si>
  <si>
    <t>Contenus pédagogiques sur les principes ostéopathiques inscrits au parcours académique, Retours de patientes, Preuves scientifiques, Réduction du coût des séances pour les patientes</t>
  </si>
  <si>
    <t>Insuffisance de preuves scientifiques, Insuffisance de collaboration interprofessionnelle avec des ostéopathes, Coût pour les patientes</t>
  </si>
  <si>
    <t>Preuves de résultats positifs des traitements ostéopathiques, Demande des patientes, Absence ou inefficacité d’autres solutions thérapeutiques, Mise en place de protocoles règlementés</t>
  </si>
  <si>
    <t>Absence de formation spécifique sur le syndrome</t>
  </si>
  <si>
    <t>Contenus pédagogiques sur les principes ostéopathiques inscrits au parcours académique, Preuves scientifiques, Réduction du coût des séances pour les patientes, Intégration de l’ostéopathie dans les structures de santé</t>
  </si>
  <si>
    <t>Peu de contenus pédagogiques sur les principes ostéopathiques inscrits au parcours académique, Absence de connaissances sur la pratique ostéopathique, Insuffisance de collaboration interprofessionnelle avec des ostéopathes</t>
  </si>
  <si>
    <t>Caractère chronique ou aigu des douleurs, 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 Convictions personnelles concernant cette approche thérapeutique</t>
  </si>
  <si>
    <t>Demande des patientes, Formations sémiologiques supplémentaires des ostéopathes, Absence ou inefficacité d’autres solutions thérapeutiques, Mise en place de protocoles règlementés, Encadrement institutionnel et recommandations officielles</t>
  </si>
  <si>
    <t>Assimilation du syndrome à des lombalgies non spécifiques, Absence de recommandations professionnelles claires</t>
  </si>
  <si>
    <t>Contenus pédagogiques sur les principes ostéopathiques inscrits au parcours académique, Preuves scientifiques, Reconnaissance institutionnelle, Intégration de l’ostéopathie dans les structures de santé</t>
  </si>
  <si>
    <t>Coût pour les patientes, Absence de reconnaissance institutionnelle</t>
  </si>
  <si>
    <t>Spécialisation de l’ostéopathe en périnatalité, Motivation des patientes pour une prise en charge manuelle complémentaire, Disponibilité et/ou accessibilité d’ostéopathes dans votre réseau, Collaboration interprofessionnelle préexistante, Convictions personnelles concernant cette approche thérapeutique, Expérience personnelle antérieure positive ou négative avec l’ostéopathie</t>
  </si>
  <si>
    <t>Demande des patientes, Formations sémiologiques supplémentaires des ostéopathes, Recommandations par d’autres professionnels de santé, Mise en place de protocoles règlementés, Encadrement institutionnel et recommandations officielles</t>
  </si>
  <si>
    <t>J'ai déjà rencontré des ostéopathes et kinésithérapeute spécialisés en périnatalité et c'était très intéressant car ils ont des connaissances en terme de mobilité, posture etc que nous sages femmes n'avons pas du tout. Nous avons tour intérêt à travailler ensemble.</t>
  </si>
  <si>
    <t>Étude très intéressante qui mérite d'être publiée dans une revue médicale car l'ostéopathie est encore beaucoup rejeté par certains professionnels de santé</t>
  </si>
  <si>
    <t xml:space="preserve">Etude intéressante, Intérêt scientifique, Présence de réticences professionnelles à l'ostéopathie </t>
  </si>
  <si>
    <t>Sous-estimation des plaintes des patientes, Difficultés d’accès aux thérapies non médicamenteuses</t>
  </si>
  <si>
    <t>Preuves scientifiques, Médiatisation/Réseaux sociaux, Intégration de l’ostéopathie dans les structures de santé</t>
  </si>
  <si>
    <t>Insuffisance de preuves scientifiques, Insuffisance de collaboration interprofessionnelle avec des ostéopathes</t>
  </si>
  <si>
    <t>Convictions personnelles concernant cette approche thérapeutique, Expérience personnelle antérieure positive ou négative avec l’ostéopathie</t>
  </si>
  <si>
    <t>Préparation à l’accouchement, Post-partum</t>
  </si>
  <si>
    <t>Assimilation du syndrome à des lombalgies non spécifiques</t>
  </si>
  <si>
    <t>Contenus pédagogiques sur les principes ostéopathiques inscrits au parcours académique, Intégration de l’ostéopathie dans les structures de santé</t>
  </si>
  <si>
    <t>Caractère chronique ou aigu des douleurs, Spécialisation de l’ostéopathe en périnatalité, Motivation des patientes pour une prise en charge manuelle complémentaire, Disponibilité et/ou accessibilité d’ostéopathes dans votre réseau</t>
  </si>
  <si>
    <t>Demande des patientes, Encadrement institutionnel et recommandations officielles</t>
  </si>
  <si>
    <t>Post-partum</t>
  </si>
  <si>
    <t>Ostéopathie, Conseils posturaux</t>
  </si>
  <si>
    <t>Contenus pédagogiques sur les principes ostéopathiques inscrits au parcours académique, Preuves scientifiques, Réduction du coût des séances pour les patientes, Reconnaissance institutionnelle, Intégration de l’ostéopathie dans les structures de santé</t>
  </si>
  <si>
    <t>Peu de contenus pédagogiques sur les principes ostéopathiques inscrits au parcours académique, Absence de connaissances sur la pratique ostéopathique, Insuffisance de preuves scientifiques, Insuffisance de collaboration interprofessionnelle avec des ostéopathes, Coût pour les patientes, Absence de reconnaissance institutionnelle</t>
  </si>
  <si>
    <t>Spécialisation de l’ostéopathe en périnatalité, Motivation des patientes pour une prise en charge manuelle complémentaire, Expérience personnelle antérieure positive ou négative avec l’ostéopathie</t>
  </si>
  <si>
    <t>Preuves de résultats positifs des traitements ostéopathiques, Mise en place de protocoles règlementés, Encadrement institutionnel et recommandations officielles</t>
  </si>
  <si>
    <t>Douleurs lombaires et/ou pelviennes, Post-partum, Fertilité</t>
  </si>
  <si>
    <t>Assimilation du syndrome à des lombalgies non spécifiques, Sous-estimation des plaintes des patientes, Absence de recommandations professionnelles claires</t>
  </si>
  <si>
    <t>Contenus pédagogiques sur les principes ostéopathiques inscrits au parcours académique, Retours de patientes, Intégration de l’ostéopathie dans les structures de santé</t>
  </si>
  <si>
    <t>Réponse ou non aux autres traitements, Spécialisation de l’ostéopathe en périnatalité, Convictions personnelles concernant cette approche thérapeutique</t>
  </si>
  <si>
    <t>Preuves de résultats positifs des traitements ostéopathiques</t>
  </si>
  <si>
    <t>Contenus pédagogiques sur les principes ostéopathiques inscrits au parcours académique, Preuves scientifiques, Reconnaissance institutionnelle</t>
  </si>
  <si>
    <t>Insuffisance de preuves scientifiques, Absence de reconnaissance institutionnelle</t>
  </si>
  <si>
    <t>Réponse ou non aux autres traitements</t>
  </si>
  <si>
    <t>Preuves de résultats positifs des traitements ostéopathiques, Mise en place de protocoles règlementés</t>
  </si>
  <si>
    <t>En excluant d’autres causes possibles de douleurs pelviennes pendant la grossesse</t>
  </si>
  <si>
    <t>Caractère chronique ou aigu des douleurs, Réponse ou non aux autres traitements, Spécialisation de l’ostéopathe en périnatalité</t>
  </si>
  <si>
    <t>Preuves de résultats positifs des traitements ostéopathiques, Demande des patientes</t>
  </si>
  <si>
    <t>Absence de formation spécifique sur le syndrome, Assimilation du syndrome à des lombalgies non spécifiques, Sous-estimation des plaintes des patientes</t>
  </si>
  <si>
    <t>Contenus pédagogiques sur les principes ostéopathiques inscrits au parcours académique, Médiatisation/Réseaux sociaux, Réduction du coût des séances pour les patientes, Intégration de l’ostéopathie dans les structures de santé</t>
  </si>
  <si>
    <t>Spécialisation de l’ostéopathe en périnatalité, Motivation des patientes pour une prise en charge manuelle complémentaire, Moment de la douleur, Disponibilité et/ou accessibilité d’ostéopathes dans votre réseau, Convictions personnelles concernant cette approche thérapeutique</t>
  </si>
  <si>
    <t>Preuves scientifiques, Reconnaissance institutionnelle, Intégration de l’ostéopathie dans les structures de santé</t>
  </si>
  <si>
    <t>Insuffisance de preuves scientifiques, Insuffisance de collaboration interprofessionnelle avec des ostéopathes, Absence de reconnaissance institutionnelle</t>
  </si>
  <si>
    <t>Réponse ou non aux autres traitements, Spécialisation de l’ostéopathe en périnatalité, Motivation des patientes pour une prise en charge manuelle complémentaire, Collaboration interprofessionnelle préexistante, Convictions personnelles concernant cette approche thérapeutique</t>
  </si>
  <si>
    <t>Demande des patientes, Formations sémiologiques supplémentaires des ostéopathes, Mise en place de protocoles règlementés, Encadrement institutionnel et recommandations officielles</t>
  </si>
  <si>
    <t>Absence de formation spécifique sur le syndrome, Assimilation du syndrome à des lombalgies non spécifiques, Sous-estimation des plaintes des patientes, Difficultés d’accès aux thérapies non médicamenteuses, Absence de recommandations professionnelles claires</t>
  </si>
  <si>
    <t>Retours de patientes, Preuves scientifiques, Réduction du coût des séances pour les patientes, Intégration de l’ostéopathie dans les structures de santé</t>
  </si>
  <si>
    <t>Absence de connaissances sur la pratique ostéopathique, Insuffisance de preuves scientifiques</t>
  </si>
  <si>
    <t>Réponse ou non aux autres traitements, Collaboration interprofessionnelle préexistante</t>
  </si>
  <si>
    <t>Mise en place de protocoles règlementés</t>
  </si>
  <si>
    <t>Douleurs lombaires et/ou pelviennes, Post-partum, Sphère émotionnelle</t>
  </si>
  <si>
    <t>Insuffisance de preuves scientifiques, Coût pour les patientes, Absence de reconnaissance institutionnelle</t>
  </si>
  <si>
    <t>en ai bénéficié personnellement mais sans effet notable, hormis moment d'écoute et de réassurance, j'étais plutôt favorable à cette pratique mais l'absence de preuves scientifiques et le coût de la.séance inaccessible à une partie de nos patientes m'empêchent de le conseiller à large échelle. malgré tout ai une consœur formée, à qui j'adresse des patientes en cas d'échec d'autres solutions car pris en charge comme une consultation sage-femme à l'hôpital</t>
  </si>
  <si>
    <t xml:space="preserve">Bénéfices subjectifs, Insuffisance de preuves scientifiques, Coût pout les patientes, Collaboration interprofessionnelle,  </t>
  </si>
  <si>
    <t>Réduction du coût des séances pour les patientes</t>
  </si>
  <si>
    <t>Coût pour les patientes</t>
  </si>
  <si>
    <t>Réponse ou non aux autres traitements, Spécialisation de l’ostéopathe en périnatalité, Motivation des patientes pour une prise en charge manuelle complémentaire</t>
  </si>
  <si>
    <t>Sous-estimation des plaintes des patientes, Absence de recommandations professionnelles claires</t>
  </si>
  <si>
    <t>Preuves scientifiques</t>
  </si>
  <si>
    <t>Peu de contenus pédagogiques sur les principes ostéopathiques inscrits au parcours académique, Insuffisance de preuves scientifiques, Absence de reconnaissance institutionnelle</t>
  </si>
  <si>
    <t>Absence de formation spécifique sur le syndrome, Assimilation du syndrome à des lombalgies non spécifiques, Sous-estimation des plaintes des patientes, Absence de recommandations professionnelles claires</t>
  </si>
  <si>
    <t>Insuffisance de preuves scientifiques</t>
  </si>
  <si>
    <t>Motivation des patientes pour une prise en charge manuelle complémentaire, Convictions personnelles concernant cette approche thérapeutique</t>
  </si>
  <si>
    <t>Actes hors nomenclature à l'efficacité non proouvée, ce serait une forme d'abus de faiblesse de laisser des patientes dépenser de l'argent en leur faisant croire que ça va les aider.</t>
  </si>
  <si>
    <t xml:space="preserve">Insuffisance de preuves scientifiques, Freins éthiques et scientifiques </t>
  </si>
  <si>
    <t>aujourd'hui les instances de référence (santé.gouv, inserm, ... alertenet sur les dangers de la pratique de l'ostéopathie. Les bénéfices ne sont pas avérés alors que les risques, complications et retards de prise en charge sont réels. Je ne reccomande plus la pratique de l'ostéopathie à mes patientes et encore moins pour les bébés</t>
  </si>
  <si>
    <t xml:space="preserve">Insuffisance de preuves scientifiques, Non recommandation institutionnelle de l'ostéopathie, Convictions personnelles, Présence de réticences professionnelles à l'ostéopathie   </t>
  </si>
  <si>
    <t>Suivi prénatal de grossesse, Douleurs lombaires et/ou pelviennes, Post-partum, Allaitement</t>
  </si>
  <si>
    <t>Retours de patientes, Preuves scientifiques, Réduction du coût des séances pour les patientes, Reconnaissance institutionnelle, Intégration de l’ostéopathie dans les structures de santé</t>
  </si>
  <si>
    <t>Caractère chronique ou aigu des douleurs, Réponse ou non aux autres traitements, Motivation des patientes pour une prise en charge manuelle complémentaire, Disponibilité et/ou accessibilité d’ostéopathes dans votre réseau, Convictions personnelles concernant cette approche thérapeutique, Expérience personnelle antérieure positive ou négative avec l’ostéopathie</t>
  </si>
  <si>
    <t>Preuves de résultats positifs des traitements ostéopathiques, Demande des patientes, Absence ou inefficacité d’autres solutions thérapeutiques</t>
  </si>
  <si>
    <t>Souvent ça soulage mais sur une courte durée</t>
  </si>
  <si>
    <t xml:space="preserve">Efficacité perçue, Soulagement temporaire </t>
  </si>
  <si>
    <t>Les sages-femmes sont majoritairement pro-ostéopathie</t>
  </si>
  <si>
    <t>Favorable à l'intégration de l'ostéopathie</t>
  </si>
  <si>
    <t>La prise en charge doit toujours être globale et pluridisciplinaire (osteo, kiné, sf, médecin, acupuncture...)</t>
  </si>
  <si>
    <t xml:space="preserve">Collaboration interprofessionnelle, Favorable à l'intégration de l'ostéopathie  </t>
  </si>
  <si>
    <t>Contenus pédagogiques sur les principes ostéopathiques inscrits au parcours académique, Retours de patientes, Preuves scientifiques, Réduction du coût des séances pour les patientes, Intégration de l’ostéopathie dans les structures de santé</t>
  </si>
  <si>
    <t>Peu de contenus pédagogiques sur les principes ostéopathiques inscrits au parcours académique, Coût pour les patientes</t>
  </si>
  <si>
    <t>Motivation des patientes pour une prise en charge manuelle complémentaire, Collaboration interprofessionnelle préexistante, Convictions personnelles concernant cette approche thérapeutique, Expérience personnelle antérieure positive ou négative avec l’ostéopathie</t>
  </si>
  <si>
    <t>Suivi prénatal de grossesse, Préparation à l’accouchement, Douleurs lombaires et/ou pelviennes, Troubles digestifs associés, Post-partum, Fertilité, Allaitement, Sphère émotionnelle</t>
  </si>
  <si>
    <t xml:space="preserve">Preuves de résultats positifs des traitements ostéopathiques </t>
  </si>
  <si>
    <t>Suivi prénatal de grossesse, Douleurs lombaires et/ou pelviennes, Post-partum, Fertilité</t>
  </si>
  <si>
    <t>Insuffisance de preuves scientifiques, Coût pour les patientes</t>
  </si>
  <si>
    <t>Spécialisation de l’ostéopathe en périnatalité, Motivation des patientes pour une prise en charge manuelle complémentaire, Collaboration interprofessionnelle préexistante, Expérience personnelle antérieure positive ou négative avec l’ostéopathie</t>
  </si>
  <si>
    <t>Preuves de résultats positifs des traitements ostéopathiques, Demande des patientes, Formations sémiologiques supplémentaires des ostéopathes, Encadrement institutionnel et recommandations officielles</t>
  </si>
  <si>
    <t>J ai eu la chance de collaborer à l’hôpital avec une ostéopathe qui venait proposer des consultations au sein de laMaternité et plus tard en cabinet libéral avec une collègue osteo, amis aussi des sage-femmes ostéopathes( deux formation distinctes)</t>
  </si>
  <si>
    <t>Absence de formation spécifique sur le syndrome, Sous-estimation des plaintes des patientes, Difficultés d’accès aux thérapies non médicamenteuses</t>
  </si>
  <si>
    <t>Réduction du coût des séances pour les patientes, Reconnaissance institutionnelle, Intégration de l’ostéopathie dans les structures de santé</t>
  </si>
  <si>
    <t>Suivi prénatal de grossesse, Préparation à l’accouchement, Douleurs lombaires et/ou pelviennes, Troubles digestifs associés, Post-partum</t>
  </si>
  <si>
    <t>Preuves de résultats positifs des traitements ostéopathiques, Formations sémiologiques supplémentaires des ostéopathes, Recommandations par d’autres professionnels de santé, Mise en place de protocoles règlementés, Encadrement institutionnel et recommandations officielles</t>
  </si>
  <si>
    <t>Je trouve que dans la plupart des cas, mes patientes sont soulagées avec peu de séances ! Mais parfois le côté "mécanique" de la grossesse et e la posture de l'enfant est impossible à dépasser...</t>
  </si>
  <si>
    <t xml:space="preserve">Efficacité perçue, Limites des pratiques ostéopathiques  </t>
  </si>
  <si>
    <t>Notre cabinet collabore volontiers et de façon systématique. Les SF du Haut Rhin en général sont ouvertes à cette collaboration je pense.</t>
  </si>
  <si>
    <t>Suivi prénatal de grossesse, Douleurs lombaires et/ou pelviennes, Troubles digestifs associés, Post-partum, Allaitement</t>
  </si>
  <si>
    <t>Retours de patientes, Preuves scientifiques, Médiatisation/Réseaux sociaux, Réduction du coût des séances pour les patientes, Reconnaissance institutionnelle, Intégration de l’ostéopathie dans les structures de santé</t>
  </si>
  <si>
    <t>Caractère chronique ou aigu des douleurs, Collaboration interprofessionnelle préexistante, Convictions personnelles concernant cette approche thérapeutique, Expérience personnelle antérieure positive ou négative avec l’ostéopathie</t>
  </si>
  <si>
    <t>Preuves de résultats positifs des traitements ostéopathiques, Demande des patientes, Recommandations par d’autres professionnels de santé</t>
  </si>
  <si>
    <t>Suivi prénatal de grossesse, Préparation à l’accouchement, Douleurs lombaires et/ou pelviennes, Troubles digestifs associés, Post-partum, Fertilité, Allaitement</t>
  </si>
  <si>
    <t>Assimilation du syndrome à des lombalgies non spécifiques, Sous-estimation des plaintes des patientes, Difficultés d’accès aux thérapies non médicamenteuses, Absence de recommandations professionnelles claires</t>
  </si>
  <si>
    <t>Contenus pédagogiques sur les principes ostéopathiques inscrits au parcours académique, Retours de patientes, Réduction du coût des séances pour les patientes, Reconnaissance institutionnelle, Intégration de l’ostéopathie dans les structures de santé</t>
  </si>
  <si>
    <t>Caractère chronique ou aigu des douleurs, Motivation des patientes pour une prise en charge manuelle complémentaire, Convictions personnelles concernant cette approche thérapeutique, Expérience personnelle antérieure positive ou négative avec l’ostéopathie</t>
  </si>
  <si>
    <t>Suivi prénatal de grossesse, Préparation à l’accouchement, Douleurs lombaires et/ou pelviennes, Allaitement</t>
  </si>
  <si>
    <t>Réduction du coût des séances pour les patientes, Reconnaissance institutionnelle</t>
  </si>
  <si>
    <t>Absence de connaissances sur la pratique ostéopathique, Insuffisance de preuves scientifiques, Coût pour les patientes</t>
  </si>
  <si>
    <t>Réponse ou non aux autres traitements, Spécialisation de l’ostéopathe en périnatalité, Collaboration interprofessionnelle préexistante</t>
  </si>
  <si>
    <t>Peu de contenus pédagogiques sur les principes ostéopathiques inscrits au parcours académique</t>
  </si>
  <si>
    <t>Preuves de résultats positifs des traitements ostéopathiques, Recommandations par d’autres professionnels de santé, Encadrement institutionnel et recommandations officielles</t>
  </si>
  <si>
    <t>Suivi prénatal de grossesse, Préparation à l’accouchement, Douleurs lombaires et/ou pelviennes, Troubles digestifs associés, Post-partum, Allaitement</t>
  </si>
  <si>
    <t>Contenus pédagogiques sur les principes ostéopathiques inscrits au parcours académique, Retours de patientes, Preuves scientifiques, Réduction du coût des séances pour les patientes, Reconnaissance institutionnelle, Intégration de l’ostéopathie dans les structures de santé</t>
  </si>
  <si>
    <t>Insuffisance de preuves scientifiques, Insuffisance de collaboration interprofessionnelle avec des ostéopathes, Coût pour les patientes, Absence de reconnaissance institutionnelle</t>
  </si>
  <si>
    <t>Spécialisation de l’ostéopathe en périnatalité, Motivation des patientes pour une prise en charge manuelle complémentaire, Moment de la douleur, Disponibilité et/ou accessibilité d’ostéopathes dans votre réseau, Collaboration interprofessionnelle préexistante, Convictions personnelles concernant cette approche thérapeutique, Expérience personnelle antérieure positive ou négative avec l’ostéopathie</t>
  </si>
  <si>
    <t>Peu de contenus pédagogiques sur les principes ostéopathiques inscrits au parcours académique, Absence de connaissances sur la pratique ostéopathique, Insuffisance de collaboration interprofessionnelle avec des ostéopathes, Coût pour les patientes, Absence de reconnaissance institutionnelle</t>
  </si>
  <si>
    <t>Spécialisation de l’ostéopathe en périnatalité, Disponibilité et/ou accessibilité d’ostéopathes dans votre réseau, Convictions personnelles concernant cette approche thérapeutique</t>
  </si>
  <si>
    <t>Preuves de résultats positifs des traitements ostéopathiques, Recommandations par d’autres professionnels de santé, Mise en place de protocoles règlementés</t>
  </si>
  <si>
    <t>Repos/Limitation de mouvement, Ceinture de maintien/Support pelvien, Exercices/Etirements</t>
  </si>
  <si>
    <t>Peu de contenus pédagogiques sur les principes ostéopathiques inscrits au parcours académique, Absence de connaissances sur la pratique ostéopathique, Insuffisance de collaboration interprofessionnelle avec des ostéopathes, Coût pour les patientes</t>
  </si>
  <si>
    <t>Spécialisation de l’ostéopathe en périnatalité, Motivation des patientes pour une prise en charge manuelle complémentaire, Disponibilité et/ou accessibilité d’ostéopathes dans votre réseau, Collaboration interprofessionnelle préexistante</t>
  </si>
  <si>
    <t>Preuves de résultats positifs des traitements ostéopathiques, Demande des patientes, Recommandations par d’autres professionnels de santé, Mise en place de protocoles règlementés, Encadrement institutionnel et recommandations officielles</t>
  </si>
  <si>
    <t>Contenus pédagogiques sur les principes ostéopathiques inscrits au parcours académique, Retours de patientes, Preuves scientifiques, Médiatisation/Réseaux sociaux, Reconnaissance institutionnelle, Intégration de l’ostéopathie dans les structures de santé</t>
  </si>
  <si>
    <t>Absence de connaissances sur la pratique ostéopathique, Insuffisance de preuves scientifiques, Insuffisance de collaboration interprofessionnelle avec des ostéopathes, Coût pour les patientes</t>
  </si>
  <si>
    <t>Caractère chronique ou aigu des douleurs, Réponse ou non aux autres traitements, Spécialisation de l’ostéopathe en périnatalité, Motivation des patientes pour une prise en charge manuelle complémentaire, Disponibilité et/ou accessibilité d’ostéopathes dans votre réseau, Expérience personnelle antérieure positive ou négative avec l’ostéopathie</t>
  </si>
  <si>
    <t>Preuves de résultats positifs des traitements ostéopathiques, Demande des patientes, Formations sémiologiques supplémentaires des ostéopathes, Recommandations par d’autres professionnels de santé, Mise en place de protocoles règlementés, Encadrement institutionnel et recommandations officielles</t>
  </si>
  <si>
    <t>Douleurs lombaires et/ou pelviennes, Sphère émotionnelle</t>
  </si>
  <si>
    <t>Contenus pédagogiques sur les principes ostéopathiques inscrits au parcours académique, Médiatisation/Réseaux sociaux, Réduction du coût des séances pour les patientes, Reconnaissance institutionnelle, Intégration de l’ostéopathie dans les structures de santé</t>
  </si>
  <si>
    <t>Caractère chronique ou aigu des douleurs, Spécialisation de l’ostéopathe en périnatalité, Moment de la douleur, Disponibilité et/ou accessibilité d’ostéopathes dans votre réseau, Collaboration interprofessionnelle préexistante</t>
  </si>
  <si>
    <t>Absence de formation spécifique sur le syndrome, Absence de recommandations professionnelles claires</t>
  </si>
  <si>
    <t>Absence de connaissances sur la pratique ostéopathique, Absence de reconnaissance institutionnelle</t>
  </si>
  <si>
    <t>Disponibilité et/ou accessibilité d’ostéopathes dans votre réseau, Collaboration interprofessionnelle préexistante, Expérience personnelle antérieure positive ou négative avec l’ostéopathie</t>
  </si>
  <si>
    <t>Suivi prénatal de grossesse, Préparation à l’accouchement, Nouveau-né</t>
  </si>
  <si>
    <t>Motivation des patientes pour une prise en charge manuelle complémentaire, Collaboration interprofessionnelle préexistante, Convictions personnelles concernant cette approche thérapeutique</t>
  </si>
  <si>
    <t>Encadrement institutionnel et recommandations officielles</t>
  </si>
  <si>
    <t>Contenus pédagogiques sur les principes ostéopathiques inscrits au parcours académique, Retours de patientes</t>
  </si>
  <si>
    <t>Caractère chronique ou aigu des douleurs</t>
  </si>
  <si>
    <t>Preuves scientifiques, Réduction du coût des séances pour les patientes</t>
  </si>
  <si>
    <t>Caractère chronique ou aigu des douleurs, Spécialisation de l’ostéopathe en périnatalité, Motivation des patientes pour une prise en charge manuelle complémentaire, Convictions personnelles concernant cette approche thérapeutique, Expérience personnelle antérieure positive ou négative avec l’ostéopathie</t>
  </si>
  <si>
    <t>Preuves de résultats positifs des traitements ostéopathiques, Absence ou inefficacité d’autres solutions thérapeutiques, Encadrement institutionnel et recommandations officielles</t>
  </si>
  <si>
    <t>Contenus pédagogiques sur les principes ostéopathiques inscrits au parcours académique, Réduction du coût des séances pour les patientes, Reconnaissance institutionnelle, Intégration de l’ostéopathie dans les structures de santé</t>
  </si>
  <si>
    <t>Peu de contenus pédagogiques sur les principes ostéopathiques inscrits au parcours académique, Coût pour les patientes, Absence de reconnaissance institutionnelle</t>
  </si>
  <si>
    <t>Réponse ou non aux autres traitements, Spécialisation de l’ostéopathe en périnatalité, Expérience personnelle antérieure positive ou négative avec l’ostéopathie</t>
  </si>
  <si>
    <t>Demande des patientes, Mise en place de protocoles règlementés, Encadrement institutionnel et recommandations officielles</t>
  </si>
  <si>
    <t xml:space="preserve">Absence de formation spécifique sur le syndrome, Assimilation du syndrome à des lombalgies non spécifiques, Sous-estimation des plaintes des patientes, Difficultés d’accès aux thérapies non médicamenteuses, Absence de recommandations professionnelles claires, Insuffisance d'examen clinique spécifique </t>
  </si>
  <si>
    <t>Travail au sein d'un même lieu ; j'encourage les patientes a 3 4 visites annuelles ou 1 par trimestre dans le cadre de la grossesse pour etre au maximum dans la prevention ! Ce qui respe te les decrets regissant les ostéopathes</t>
  </si>
  <si>
    <t xml:space="preserve">Collaboration interprofessionnelle, Suivi régulier préventif, Recommandation institutionnelle, Favorable à l'intégration de l'ostéopathie  </t>
  </si>
  <si>
    <t>Contenus pédagogiques sur les principes ostéopathiques inscrits au parcours académique, Retours de patientes, Preuves scientifiques, Reconnaissance institutionnelle, Intégration de l’ostéopathie dans les structures de santé</t>
  </si>
  <si>
    <t>Réponse ou non aux autres traitements, Disponibilité et/ou accessibilité d’ostéopathes dans votre réseau, Convictions personnelles concernant cette approche thérapeutique</t>
  </si>
  <si>
    <t>Peu de contenus pédagogiques sur les principes ostéopathiques inscrits au parcours académique, Insuffisance de preuves scientifiques, Coût pour les patientes, Absence de reconnaissance institutionnelle</t>
  </si>
  <si>
    <t>Peu de contenus pédagogiques sur les principes ostéopathiques inscrits au parcours académique, Absence de connaissances sur la pratique ostéopathique, Insuffisance de preuves scientifiques, Insuffisance de collaboration interprofessionnelle avec des ostéopathes, Absence de reconnaissance institutionnelle</t>
  </si>
  <si>
    <t>Caractère chronique ou aigu des douleurs, Spécialisation de l’ostéopathe en périnatalité, Motivation des patientes pour une prise en charge manuelle complémentaire, Collaboration interprofessionnelle préexistante, Convictions personnelles concernant cette approche thérapeutique</t>
  </si>
  <si>
    <t>Preuves de résultats positifs des traitements ostéopathiques, Formations sémiologiques supplémentaires des ostéopathes</t>
  </si>
  <si>
    <t>En tant qu'étudiante j'ai surtout vu des collaborations SF/ostéo dans des cabinets pluriprofessionnels.</t>
  </si>
  <si>
    <t>Caractère chronique ou aigu des douleurs, Spécialisation de l’ostéopathe en périnatalité, Motivation des patientes pour une prise en charge manuelle complémentaire</t>
  </si>
  <si>
    <t>Preuves de résultats positifs des traitements ostéopathiques, Demande des patientes, Formations sémiologiques supplémentaires des ostéopathes, Absence ou inefficacité d’autres solutions thérapeutiques, Encadrement institutionnel et recommandations officielles</t>
  </si>
  <si>
    <t>Retours de patientes, Preuves scientifiques, Réduction du coût des séances pour les patientes</t>
  </si>
  <si>
    <t>Peu de contenus pédagogiques sur les principes ostéopathiques inscrits au parcours académique, Absence de connaissances sur la pratique ostéopathique, Coût pour les patientes, Absence de reconnaissance institutionnelle</t>
  </si>
  <si>
    <t>Caractère chronique ou aigu des douleurs, Motivation des patientes pour une prise en charge manuelle complémentaire, Disponibilité et/ou accessibilité d’ostéopathes dans votre réseau</t>
  </si>
  <si>
    <t>mon seul frein est l'accessibilité aux soins pour toutes, inegalité des soins en fonction des moyens financiers des patientes du fait du prix des séances, on ne peut pas à ce jour proposer ça à tout le monde</t>
  </si>
  <si>
    <t xml:space="preserve">Coût pour les patientes </t>
  </si>
  <si>
    <t>Caractère chronique ou aigu des douleurs, Réponse ou non aux autres traitements, Disponibilité et/ou accessibilité d’ostéopathes dans votre réseau</t>
  </si>
  <si>
    <t>Recommandations par d’autres professionnels de santé, Absence ou inefficacité d’autres solutions thérapeutiques, Encadrement institutionnel et recommandations officielles</t>
  </si>
  <si>
    <t>Réduction du coût des séances pour les patientes, Intégration de l’ostéopathie dans les structures de santé</t>
  </si>
  <si>
    <t>Réponse ou non aux autres traitements, Spécialisation de l’ostéopathe en périnatalité, Motivation des patientes pour une prise en charge manuelle complémentaire, Disponibilité et/ou accessibilité d’ostéopathes dans votre réseau</t>
  </si>
  <si>
    <t>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t>
  </si>
  <si>
    <t>Suivi prénatal de grossesse, Fertilité</t>
  </si>
  <si>
    <t>Absence ou inefficacité d’autres solutions thérapeutiques</t>
  </si>
  <si>
    <t>Tres positif mais certains medecins deconseillent aux patientes et du coup elles les écoutent</t>
  </si>
  <si>
    <t xml:space="preserve">Efficacité perçue, Impact des avis médicaux, Recommandation institutionnelle  </t>
  </si>
  <si>
    <t>Demande de notre maternité de collaborer avec les osteopathe mais l'administration refuse</t>
  </si>
  <si>
    <t xml:space="preserve">Limites institutionnelles à la mise en place de collaborations interprofessionnelles, Favorable à l'intégration de l'ostéopathie </t>
  </si>
  <si>
    <t>Retours de patientes, Réduction du coût des séances pour les patientes</t>
  </si>
  <si>
    <t>Peu de contenus pédagogiques sur les principes ostéopathiques inscrits au parcours académique, Insuffisance de preuves scientifiques, Insuffisance de collaboration interprofessionnelle avec des ostéopathes, Coût pour les patientes</t>
  </si>
  <si>
    <t>Caractère chronique ou aigu des douleurs, Motivation des patientes pour une prise en charge manuelle complémentaire, Expérience personnelle antérieure positive ou négative avec l’ostéopathie</t>
  </si>
  <si>
    <t>Interrogatoire, Examen clinique, Recours aux examens complémentaires, En excluant d’autres causes possibles de douleurs pelviennes pendant la grossesse</t>
  </si>
  <si>
    <t>Insuffisance de collaboration interprofessionnelle avec des ostéopathes, Coût pour les patientes, Absence de reconnaissance institutionnelle</t>
  </si>
  <si>
    <t>Caractère chronique ou aigu des douleurs, Spécialisation de l’ostéopathe en périnatalité, Motivation des patientes pour une prise en charge manuelle complémentaire, Moment de la douleur, Disponibilité et/ou accessibilité d’ostéopathes dans votre réseau, Collaboration interprofessionnelle préexistante</t>
  </si>
  <si>
    <t>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 Expérience personnelle antérieure positive ou négative avec l’ostéopathie</t>
  </si>
  <si>
    <t>Spécialisation de l’ostéopathe en périnatalité</t>
  </si>
  <si>
    <t>Preuves de résultats positifs des traitements ostéopathiques, Formations sémiologiques supplémentaires des ostéopathes, Mise en place de protocoles règlementés, Encadrement institutionnel et recommandations officielles</t>
  </si>
  <si>
    <t>Contenus pédagogiques sur les principes ostéopathiques inscrits au parcours académique, Médiatisation/Réseaux sociaux, Réduction du coût des séances pour les patientes</t>
  </si>
  <si>
    <t>Ostéopathie, Traitements médicamenteux (antalgiques/analgésiques)</t>
  </si>
  <si>
    <t>Contenus pédagogiques sur les principes ostéopathiques inscrits au parcours académique, Preuves scientifiques, Intégration de l’ostéopathie dans les structures de santé</t>
  </si>
  <si>
    <t>Caractère chronique ou aigu des douleurs, Réponse ou non aux autres traitements, Moment de la douleur</t>
  </si>
  <si>
    <t>Caractère chronique ou aigu des douleurs, Spécialisation de l’ostéopathe en périnatalité, Convictions personnelles concernant cette approche thérapeutique, Expérience personnelle antérieure positive ou négative avec l’ostéopathie</t>
  </si>
  <si>
    <t>Demande des patientes, Formations sémiologiques supplémentaires des ostéopathes, Recommandations par d’autres professionnels de santé, Encadrement institutionnel et recommandations officielles</t>
  </si>
  <si>
    <t>en tant qu'étudiante, je n'ai encore jamais entendu de collègues sages-femmes parler d'ostéopathie pour ce syndrome, en revanche je l'ai déjà conseillé, mais n'ai pas pu avoir de retour (c'était lors d'un stage)</t>
  </si>
  <si>
    <t xml:space="preserve">Collaboration interprofessionnelle, Absence de connaissances sur la pratique ostéopathique, Favorable à l'intégration de l'ostéopathie  </t>
  </si>
  <si>
    <t>L'ostéopathie me soulage énormément mes problèmes de dos, de contractures de partout, ça fait un bien fou une ptite séance de temps en temps ! Alors avec plaisir une collab' SF - ostéo !! bon courage pour ton mémoire :))</t>
  </si>
  <si>
    <t>Expérience personnelle positive, Favorable à l'intégration de l'ostéopathie, Collaboration interprofessionnelle</t>
  </si>
  <si>
    <t>Spécialisation de l’ostéopathe en périnatalité, Motivation des patientes pour une prise en charge manuelle complémentaire, Convictions personnelles concernant cette approche thérapeutique, Expérience personnelle antérieure positive ou négative avec l’ostéopathie</t>
  </si>
  <si>
    <t>Retours de patientes, Médiatisation/Réseaux sociaux, Reconnaissance institutionnelle, Intégration de l’ostéopathie dans les structures de santé</t>
  </si>
  <si>
    <t>Caractère chronique ou aigu des douleurs, Réponse ou non aux autres traitements, Spécialisation de l’ostéopathe en périnatalité, Motivation des patientes pour une prise en charge manuelle complémentaire, Moment de la douleur, Disponibilité et/ou accessibilité d’ostéopathes dans votre réseau, Collaboration interprofessionnelle préexistante, Convictions personnelles concernant cette approche thérapeutique, Expérience personnelle antérieure positive ou négative avec l’ostéopathie</t>
  </si>
  <si>
    <t>Formations sémiologiques supplémentaires des ostéopathes, Mise en place de protocoles règlementés, Encadrement institutionnel et recommandations officielles</t>
  </si>
  <si>
    <t>Merci les ostéos d'exister!</t>
  </si>
  <si>
    <t xml:space="preserve">Favorable à l'intégration de l'ostéopathie </t>
  </si>
  <si>
    <t>Spécialisation de l’ostéopathe en périnatalité, Motivation des patientes pour une prise en charge manuelle complémentaire, Disponibilité et/ou accessibilité d’ostéopathes dans votre réseau</t>
  </si>
  <si>
    <t>Preuves de résultats positifs des traitements ostéopathiques, Demande des patientes, Recommandations par d’autres professionnels de santé, Mise en place de protocoles règlementés</t>
  </si>
  <si>
    <t>Spécialisation de l’ostéopathe en périnatalité, Disponibilité et/ou accessibilité d’ostéopathes dans votre réseau, Collaboration interprofessionnelle préexistante, Convictions personnelles concernant cette approche thérapeutique, Expérience personnelle antérieure positive ou négative avec l’ostéopathie</t>
  </si>
  <si>
    <t>Contenus pédagogiques sur les principes ostéopathiques inscrits au parcours académique, Retours de patientes, Preuves scientifiques, Réduction du coût des séances pour les patientes, Reconnaissance institutionnelle</t>
  </si>
  <si>
    <t>Réponse ou non aux autres traitements, Spécialisation de l’ostéopathe en périnatalité, Motivation des patientes pour une prise en charge manuelle complémentaire, Disponibilité et/ou accessibilité d’ostéopathes dans votre réseau, Convictions personnelles concernant cette approche thérapeutique</t>
  </si>
  <si>
    <t>Contenus pédagogiques sur les principes ostéopathiques inscrits au parcours académique</t>
  </si>
  <si>
    <t>Formations sémiologiques supplémentaires des ostéopathes, Mise en place de protocoles règlementés</t>
  </si>
  <si>
    <t>Interrogatoire, En excluant d’autres causes possibles de douleurs pelviennes pendant la grossesse, Démarche de la patiente</t>
  </si>
  <si>
    <t>Contenus pédagogiques sur les principes ostéopathiques inscrits au parcours académique, Retours de patientes, Réduction du coût des séances pour les patientes</t>
  </si>
  <si>
    <t>Caractère chronique ou aigu des douleurs, Réponse ou non aux autres traitements, Collaboration interprofessionnelle préexistante, Convictions personnelles concernant cette approche thérapeutique, Expérience personnelle antérieure positive ou négative avec l’ostéopathie</t>
  </si>
  <si>
    <t>En post partum, lorsqu’une patiente se plains de douleurs (notamment au niveau du coccyx) on va lui conseiller un osteo en post partum. Mais pendant la grossesse dès qu’une femme a des douleurs, lombaires surtout, on va la supplementer en magnésium… et pas forcément diriger vers un autre spécialiste, j’ai rarement vu cela.</t>
  </si>
  <si>
    <t xml:space="preserve">Collaboration interprofessionnelle, Favorable à l'intégration de l'ostéopathie, Manque d’informations sur les pratiques ostéopathiques en périnatalité  </t>
  </si>
  <si>
    <t>Sphère émotionnelle</t>
  </si>
  <si>
    <t>Assimilation du syndrome à des lombalgies non spécifiques, Sous-estimation des plaintes des patientes</t>
  </si>
  <si>
    <t>Contenus pédagogiques sur les principes ostéopathiques inscrits au parcours académique, Retours de patientes, Réduction du coût des séances pour les patientes, Intégration de l’ostéopathie dans les structures de santé</t>
  </si>
  <si>
    <t>Absence de connaissances sur la pratique ostéopathique, Insuffisance de collaboration interprofessionnelle avec des ostéopathes, Coût pour les patientes</t>
  </si>
  <si>
    <t>Caractère chronique ou aigu des douleurs, Réponse ou non aux autres traitements, Spécialisation de l’ostéopathe en périnatalité, Motivation des patientes pour une prise en charge manuelle complémentaire</t>
  </si>
  <si>
    <t>Douleurs lombaires et/ou pelviennes, Troubles digestifs associés, Post-partum</t>
  </si>
  <si>
    <t>Assimilation du syndrome à des lombalgies non spécifiques, Difficultés d’accès aux thérapies non médicamenteuses, Absence de recommandations professionnelles claires</t>
  </si>
  <si>
    <t>Insuffisance de collaboration interprofessionnelle avec des ostéopathes</t>
  </si>
  <si>
    <t>Contenus pédagogiques sur les principes ostéopathiques inscrits au parcours académique, Retours de patientes, Preuves scientifiques</t>
  </si>
  <si>
    <t>Caractère chronique ou aigu des douleurs, Réponse ou non aux autres traitements, Collaboration interprofessionnelle préexistante, Convictions personnelles concernant cette approche thérapeutique</t>
  </si>
  <si>
    <t>Preuves de résultats positifs des traitements ostéopathiques, Demande des patientes, Absence ou inefficacité d’autres solutions thérapeutiques, Encadrement institutionnel et recommandations officielles</t>
  </si>
  <si>
    <t>Absence de connaissances sur la pratique ostéopathique, Insuffisance de preuves scientifiques, Insuffisance de collaboration interprofessionnelle avec des ostéopathes</t>
  </si>
  <si>
    <t>Caractère chronique ou aigu des douleurs, Convictions personnelles concernant cette approche thérapeutique</t>
  </si>
  <si>
    <t>Absence de connaissances sur la pratique ostéopathique, Coût pour les patientes</t>
  </si>
  <si>
    <t>Spécialisation de l’ostéopathe en périnatalité, Disponibilité et/ou accessibilité d’ostéopathes dans votre réseau, Collaboration interprofessionnelle préexistante, Convictions personnelles concernant cette approche thérapeutique</t>
  </si>
  <si>
    <t>Les patientes décrivent un soulagement mais temporaire</t>
  </si>
  <si>
    <t xml:space="preserve">Efficacité perçue, Soulagement temporaire   </t>
  </si>
  <si>
    <t>L'ostéopathie permet de soulager de beaucoup de maux, notament après l'accouchement pour remettre en place le bassin mais aussi durant la grossesse pour corriger les mauvaises postures. J'ai pu voir des orientations chez l'ostéo aussi pour les NN qui ont des troubles digestifs et cela a plutôt été efficace</t>
  </si>
  <si>
    <t xml:space="preserve">Efficacité perçue, Collaboration interprofessionnelle, Favorable à l'intégration de l'ostéopathie, Nouveaux-nés  </t>
  </si>
  <si>
    <t>Douleurs lombaires et/ou pelviennes, Troubles digestifs associés</t>
  </si>
  <si>
    <t>Exercices/Etirements, Conseils posturaux</t>
  </si>
  <si>
    <t>Insuffisance de collaboration interprofessionnelle avec des ostéopathes, Coût pour les patientes</t>
  </si>
  <si>
    <t>Caractère chronique ou aigu des douleurs, Expérience personnelle antérieure positive ou négative avec l’ostéopathie</t>
  </si>
  <si>
    <t>Recommandations par d’autres professionnels de santé</t>
  </si>
  <si>
    <t>Peu de contenus pédagogiques sur les principes ostéopathiques inscrits au parcours académique, Absence de connaissances sur la pratique ostéopathique, Coût pour les patientes</t>
  </si>
  <si>
    <t>Demande des patientes, Formations sémiologiques supplémentaires des ostéopathes, Encadrement institutionnel et recommandations officielles</t>
  </si>
  <si>
    <t>Peu de contenus pédagogiques sur les principes ostéopathiques inscrits au parcours académique, Insuffisance de preuves scientifiques, Coût pour les patientes</t>
  </si>
  <si>
    <t>Caractère chronique ou aigu des douleurs, Réponse ou non aux autres traitements, Spécialisation de l’ostéopathe en périnatalité, Motivation des patientes pour une prise en charge manuelle complémentaire, Convictions personnelles concernant cette approche thérapeutique, Expérience personnelle antérieure positive ou négative avec l’ostéopathie</t>
  </si>
  <si>
    <t>Caractère chronique ou aigu des douleurs, Réponse ou non aux autres traitements</t>
  </si>
  <si>
    <t>Exercices/Etirements, Ostéopathie</t>
  </si>
  <si>
    <t>Retours de patientes, Preuves scientifiques, Réduction du coût des séances pour les patientes, Reconnaissance institutionnelle</t>
  </si>
  <si>
    <t>Caractère chronique ou aigu des douleurs, Réponse ou non aux autres traitements, Motivation des patientes pour une prise en charge manuelle complémentaire, Expérience personnelle antérieure positive ou négative avec l’ostéopathie</t>
  </si>
  <si>
    <t>Peu de contenus pédagogiques sur les principes ostéopathiques inscrits au parcours académique, Absence de connaissances sur la pratique ostéopathique, Insuffisance de preuves scientifiques, Absence de reconnaissance institutionnelle</t>
  </si>
  <si>
    <t>Réponse ou non aux autres traitements, Spécialisation de l’ostéopathe en périnatalité, Moment de la douleur, Collaboration interprofessionnelle préexistante</t>
  </si>
  <si>
    <t>Suivi prénatal de grossesse, Douleurs lombaires et/ou pelviennes, Troubles digestifs associés, Post-partum</t>
  </si>
  <si>
    <t>Contenus pédagogiques sur les principes ostéopathiques inscrits au parcours académique, Preuves scientifiques, Médiatisation/Réseaux sociaux</t>
  </si>
  <si>
    <t>Spécialisation de l’ostéopathe en périnatalité, Motivation des patientes pour une prise en charge manuelle complémentaire, Collaboration interprofessionnelle préexistante, Convictions personnelles concernant cette approche thérapeutique, Expérience personnelle antérieure positive ou négative avec l’ostéopathie</t>
  </si>
  <si>
    <t>Nécessité +++ en ce qui me concerne d’avoir une formation en périnatalité. Mais adepte +++ de la PÊCHE ostéopathe pour la femme enceinte</t>
  </si>
  <si>
    <t xml:space="preserve">Favorable à l'intégration de l'ostéopathie, Formation en périnatalité, Collaboration interprofessionnelle  </t>
  </si>
  <si>
    <t>Retours de patientes, Réduction du coût des séances pour les patientes, Reconnaissance institutionnelle</t>
  </si>
  <si>
    <t>Caractère chronique ou aigu des douleurs, Réponse ou non aux autres traitements, Spécialisation de l’ostéopathe en périnatalité, Motivation des patientes pour une prise en charge manuelle complémentaire, Convictions personnelles concernant cette approche thérapeutique</t>
  </si>
  <si>
    <t>Demande des patientes, Recommandations par d’autres professionnels de santé</t>
  </si>
  <si>
    <t>Réponse ou non aux autres traitements, Motivation des patientes pour une prise en charge manuelle complémentaire, Convictions personnelles concernant cette approche thérapeutique, Expérience personnelle antérieure positive ou négative avec l’ostéopathie</t>
  </si>
  <si>
    <t>Preuves de résultats positifs des traitements ostéopathiques, Demande des patientes, Recommandations par d’autres professionnels de santé, Absence ou inefficacité d’autres solutions thérapeutiques, Encadrement institutionnel et recommandations officielles</t>
  </si>
  <si>
    <t>Examen clinique</t>
  </si>
  <si>
    <t>Motivation des patientes pour une prise en charge manuelle complémentaire, Convictions personnelles concernant cette approche thérapeutique, Expérience personnelle antérieure positive ou négative avec l’ostéopathie</t>
  </si>
  <si>
    <t>Demande des patientes, Formations sémiologiques supplémentaires des ostéopathes</t>
  </si>
  <si>
    <t>Des fo pnctuelles en osteopathie en maieitique</t>
  </si>
  <si>
    <t>Suivi prénatal de grossesse, Post-partum</t>
  </si>
  <si>
    <t>Contenus pédagogiques sur les principes ostéopathiques inscrits au parcours académique, Réduction du coût des séances pour les patientes</t>
  </si>
  <si>
    <t>Caractère chronique ou aigu des douleurs, Spécialisation de l’ostéopathe en périnatalité, Motivation des patientes pour une prise en charge manuelle complémentaire, Disponibilité et/ou accessibilité d’ostéopathes dans votre réseau, Convictions personnelles concernant cette approche thérapeutique</t>
  </si>
  <si>
    <t>Formations sémiologiques supplémentaires des ostéopathes, Recommandations par d’autres professionnels de santé, Mise en place de protocoles règlementés, Encadrement institutionnel et recommandations officielles</t>
  </si>
  <si>
    <t>Assimilation du syndrome à des lombalgies non spécifiques, Sous-estimation des plaintes des patientes, Difficultés d’accès aux thérapies non médicamenteuses</t>
  </si>
  <si>
    <t>Retours de patientes</t>
  </si>
  <si>
    <t>Caractère chronique ou aigu des douleurs, Réponse ou non aux autres traitements, Motivation des patientes pour une prise en charge manuelle complémentaire, Convictions personnelles concernant cette approche thérapeutique, Expérience personnelle antérieure positive ou négative avec l’ostéopathie</t>
  </si>
  <si>
    <t>Demande des patientes, Absence ou inefficacité d’autres solutions thérapeutiques</t>
  </si>
  <si>
    <t>Nous avons des ostéo dans notre cabinet et nous avons toujours eu des retours positifs de leurs prises en charges.</t>
  </si>
  <si>
    <t xml:space="preserve">Collaboration interprofessionnelle, Favorable à l'intégration de l'ostéopathie, Efficacité perçue  </t>
  </si>
  <si>
    <t>Caractère chronique ou aigu des douleurs, Spécialisation de l’ostéopathe en périnatalité, Motivation des patientes pour une prise en charge manuelle complémentaire, Convictions personnelles concernant cette approche thérapeutique</t>
  </si>
  <si>
    <t>Suivi prénatal de grossesse, Préparation à l’accouchement, Douleurs lombaires et/ou pelviennes, Troubles digestifs associés, Post-partum, Fertilité</t>
  </si>
  <si>
    <t>Traitements médicamenteux (antalgiques/analgésiques), Conseils posturaux</t>
  </si>
  <si>
    <t>Médiatisation/Réseaux sociaux</t>
  </si>
  <si>
    <t>Moment de la douleur</t>
  </si>
  <si>
    <t>Demande des patientes</t>
  </si>
  <si>
    <t>Suivi prénatal de grossesse, Douleurs lombaires et/ou pelviennes, Troubles digestifs associés, Post-partum, Fertilité, Allaitement, Sphère émotionnelle</t>
  </si>
  <si>
    <t>Positif</t>
  </si>
  <si>
    <t xml:space="preserve">Favorable à l'intégration de l'ostéopathie, Collaboration interprofessionnelle, Efficacité perçue </t>
  </si>
  <si>
    <t>Difficultés d’accès aux thérapies non médicamenteuses, Absence de recommandations professionnelles claires</t>
  </si>
  <si>
    <t>Caractère chronique ou aigu des douleurs, Motivation des patientes pour une prise en charge manuelle complémentaire, Convictions personnelles concernant cette approche thérapeutique</t>
  </si>
  <si>
    <t>Contenus pédagogiques sur les principes ostéopathiques inscrits au parcours académique, Preuves scientifiques, Réduction du coût des séances pour les patientes, Reconnaissance institutionnelle</t>
  </si>
  <si>
    <t>Caractère chronique ou aigu des douleurs, Moment de la douleur, Disponibilité et/ou accessibilité d’ostéopathes dans votre réseau, Collaboration interprofessionnelle préexistante</t>
  </si>
  <si>
    <t>Peu de contenus pédagogiques sur les principes ostéopathiques inscrits au parcours académique, Insuffisance de preuves scientifiques, Insuffisance de collaboration interprofessionnelle avec des ostéopathes, Absence de reconnaissance institutionnelle</t>
  </si>
  <si>
    <t>Caractère chronique ou aigu des douleurs, Disponibilité et/ou accessibilité d’ostéopathes dans votre réseau, Convictions personnelles concernant cette approche thérapeutique</t>
  </si>
  <si>
    <t>Dans notre maternité, on rêve d’un(e) ostéopathe dans nos pratiques professionnelles.</t>
  </si>
  <si>
    <t>Preuves scientifiques, Reconnaissance institutionnelle</t>
  </si>
  <si>
    <t>Insuffisance de collaboration interprofessionnelle avec des ostéopathes, Absence de reconnaissance institutionnelle</t>
  </si>
  <si>
    <t>Installée depuis 1 an, je ne suis pas énormément de grossesses. Acupunctrice, elles viennent vers moi pour la prise en charge douleur et grossesse, il m'arrive fréquemment d'orienter vers l'ostéopathie en complément.</t>
  </si>
  <si>
    <t xml:space="preserve">Collaboration interprofessionnelle, Favorable à l'intégration de l'ostéopathie </t>
  </si>
  <si>
    <t>Exercices/Etirements, Ostéopathie, Traitements médicamenteux (antalgiques/analgésiques), Conseils posturaux</t>
  </si>
  <si>
    <t>Caractère chronique ou aigu des douleurs, 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t>
  </si>
  <si>
    <t>Preuves de résultats positifs des traitements ostéopathiques, Demande des patientes, Formations sémiologiques supplémentaires des ostéopathes, Recommandations par d’autres professionnels de santé</t>
  </si>
  <si>
    <t>Préparation à l’accouchement, Douleurs lombaires et/ou pelviennes, Post-partum, Allaitement</t>
  </si>
  <si>
    <t>Contenus pédagogiques sur les principes ostéopathiques inscrits au parcours académique, Médiatisation/Réseaux sociaux, Réduction du coût des séances pour les patientes, Reconnaissance institutionnelle</t>
  </si>
  <si>
    <t>Caractère chronique ou aigu des douleurs, Disponibilité et/ou accessibilité d’ostéopathes dans votre réseau</t>
  </si>
  <si>
    <t>Spécialisation de l’ostéopathe en périnatalité, Convictions personnelles concernant cette approche thérapeutique</t>
  </si>
  <si>
    <t>Caractère chronique ou aigu des douleurs, Motivation des patientes pour une prise en charge manuelle complémentaire</t>
  </si>
  <si>
    <t>Caractère chronique ou aigu des douleurs, Spécialisation de l’ostéopathe en périnatalité, Disponibilité et/ou accessibilité d’ostéopathes dans votre réseau</t>
  </si>
  <si>
    <t>Réponse ou non aux autres traitements, Motivation des patientes pour une prise en charge manuelle complémentaire</t>
  </si>
  <si>
    <t>Preuves de résultats positifs des traitements ostéopathiques, Demande des patientes, Mise en place de protocoles règlementés</t>
  </si>
  <si>
    <t>J'ai effectué une formation au modelage ostéopathique pour la femme enceinte et les nouveaux nés , je l'utilise beaucoup en salle d'accouchement et en post partum et j'ai observé de bons résultats. Je l'utilise aussi en suivi pré natal pour les douleurs ligamentaires notamment.</t>
  </si>
  <si>
    <t>Contenus pédagogiques sur les principes ostéopathiques inscrits au parcours académique, Preuves scientifiques</t>
  </si>
  <si>
    <t>Suivi prénatal de grossesse</t>
  </si>
  <si>
    <t>Spécialisation de l’ostéopathe en périnatalité, Disponibilité et/ou accessibilité d’ostéopathes dans votre réseau</t>
  </si>
  <si>
    <t>J’ai surtout eu l’occasion d’adresser les patientes lorsque j’étais en libéral. Les patientes en sont très contentes !</t>
  </si>
  <si>
    <t xml:space="preserve">Efficacité perçue, Collaboration interprofessionnelle, Favorable à l'intégration de l'ostéopathie </t>
  </si>
  <si>
    <t>Absence de connaissances sur la pratique ostéopathique, Insuffisance de preuves scientifiques, Coût pour les patientes, Absence de reconnaissance institutionnelle</t>
  </si>
  <si>
    <t>Convictions personnelles concernant cette approche thérapeutique</t>
  </si>
  <si>
    <t>Peu de contenus pédagogiques sur les principes ostéopathiques inscrits au parcours académique, Insuffisance de collaboration interprofessionnelle avec des ostéopathes, Absence de reconnaissance institutionnelle</t>
  </si>
  <si>
    <t>Preuves de résultats positifs des traitements ostéopathiques, Formations sémiologiques supplémentaires des ostéopathes, Recommandations par d’autres professionnels de santé</t>
  </si>
  <si>
    <t>Caractère chronique ou aigu des douleurs, Spécialisation de l’ostéopathe en périnatalité, Motivation des patientes pour une prise en charge manuelle complémentaire, Disponibilité et/ou accessibilité d’ostéopathes dans votre réseau, Collaboration interprofessionnelle préexistante</t>
  </si>
  <si>
    <t>Réponse ou non aux autres traitements, Spécialisation de l’ostéopathe en périnatalité, Motivation des patientes pour une prise en charge manuelle complémentaire, Disponibilité et/ou accessibilité d’ostéopathes dans votre réseau, Convictions personnelles concernant cette approche thérapeutique, Expérience personnelle antérieure positive ou négative avec l’ostéopathie</t>
  </si>
  <si>
    <t>Suivi prénatal de grossesse, Préparation à l’accouchement, Douleurs lombaires et/ou pelviennes, Post-partum, Sphère émotionnelle</t>
  </si>
  <si>
    <t>Motivation des patientes pour une prise en charge manuelle complémentaire, Disponibilité et/ou accessibilité d’ostéopathes dans votre réseau, Collaboration interprofessionnelle préexistante, Convictions personnelles concernant cette approche thérapeutique, Expérience personnelle antérieure positive ou négative avec l’ostéopathie</t>
  </si>
  <si>
    <t>Exercices/Etirements, Traitements médicamenteux (antalgiques/analgésiques)</t>
  </si>
  <si>
    <t>Contenus pédagogiques sur les principes ostéopathiques inscrits au parcours académique, Médiatisation/Réseaux sociaux, Reconnaissance institutionnelle, Intégration de l’ostéopathie dans les structures de santé</t>
  </si>
  <si>
    <t>Peu de contenus pédagogiques sur les principes ostéopathiques inscrits au parcours académique, Absence de reconnaissance institutionnelle</t>
  </si>
  <si>
    <t>Caractère chronique ou aigu des douleurs, Spécialisation de l’ostéopathe en périnatalité, Motivation des patientes pour une prise en charge manuelle complémentaire, Disponibilité et/ou accessibilité d’ostéopathes dans votre réseau, Convictions personnelles concernant cette approche thérapeutique, Expérience personnelle antérieure positive ou négative avec l’ostéopathie</t>
  </si>
  <si>
    <t>Je pense que les sage-femmes sont beaucoup plus ouverte au recours au l'ostéopathie que les médecins par exemple. Or il est vrai que l'absence de recommandations claires sur les motifs pouvant nous pousser à diriger les patientes vers un ostéopathe peut représenter un frein à cette collaboration.</t>
  </si>
  <si>
    <t xml:space="preserve">Favorable à l'intégration de l'ostéopathie, Absence de recommandation institutionnelle, Manque d’informations sur les pratiques et spécialisations ostéopathiques en périnatalité  </t>
  </si>
  <si>
    <t>Assimilation du syndrome à des lombalgies non spécifiques, Difficultés d’accès aux thérapies non médicamenteuses</t>
  </si>
  <si>
    <t>Repos/Limitation de mouvement, Ostéopathie</t>
  </si>
  <si>
    <t>Caractère chronique ou aigu des douleurs, Réponse ou non aux autres traitements, Motivation des patientes pour une prise en charge manuelle complémentaire</t>
  </si>
  <si>
    <t>Preuves de résultats positifs des traitements ostéopathiques, Absence ou inefficacité d’autres solutions thérapeutiques</t>
  </si>
  <si>
    <t>Caractère chronique ou aigu des douleurs, Réponse ou non aux autres traitements, Convictions personnelles concernant cette approche thérapeutique</t>
  </si>
  <si>
    <t>Réponse ou non aux autres traitements, Spécialisation de l’ostéopathe en périnatalité, Motivation des patientes pour une prise en charge manuelle complémentaire, Disponibilité et/ou accessibilité d’ostéopathes dans votre réseau, Collaboration interprofessionnelle préexistante, Convictions personnelles concernant cette approche thérapeutique</t>
  </si>
  <si>
    <t>Preuves de résultats positifs des traitements ostéopathiques, Demande des patientes, Recommandations par d’autres professionnels de santé, Absence ou inefficacité d’autres solutions thérapeutiques, Mise en place de protocoles règlementés, Encadrement institutionnel et recommandations officielles</t>
  </si>
  <si>
    <t>Suivi prénatal de grossesse, Préparation à l’accouchement, Douleurs lombaires et/ou pelviennes, Troubles digestifs associés, Post-partum, Fertilité, Sphère émotionnelle</t>
  </si>
  <si>
    <t>Réponse ou non aux autres traitements, Spécialisation de l’ostéopathe en périnatalité, Motivation des patientes pour une prise en charge manuelle complémentaire, Moment de la douleur, Collaboration interprofessionnelle préexistante, Convictions personnelles concernant cette approche thérapeutique, Expérience personnelle antérieure positive ou négative avec l’ostéopathie</t>
  </si>
  <si>
    <t>Je donne tous les conseils de postures, étirements, ostéopathe, port ceinture en même temps. J’ajoute les apports hydriques dans les conseils</t>
  </si>
  <si>
    <t>Absence de connaissances sur la pratique ostéopathique, Insuffisance de collaboration interprofessionnelle avec des ostéopathes, Absence de reconnaissance institutionnelle</t>
  </si>
  <si>
    <t>Absence de connaissances sur la pratique ostéopathique, Insuffisance de collaboration interprofessionnelle avec des ostéopathes</t>
  </si>
  <si>
    <t>Contenus pédagogiques sur les principes ostéopathiques inscrits au parcours académique, Preuves scientifiques, Médiatisation/Réseaux sociaux, Reconnaissance institutionnelle, Intégration de l’ostéopathie dans les structures de santé</t>
  </si>
  <si>
    <t>Preuves de résultats positifs des traitements ostéopathiques, Demande des patientes, Recommandations par d’autres professionnels de santé, Encadrement institutionnel et recommandations officielles</t>
  </si>
  <si>
    <t>Fort blocage institutionnel</t>
  </si>
  <si>
    <t xml:space="preserve">Absence de recommandation institutionnelle </t>
  </si>
  <si>
    <t>Absence de formation spécifique sur le syndrome, Sous-estimation des plaintes des patientes, Difficultés d’accès aux thérapies non médicamenteuses, Absence de recommandations professionnelles claires</t>
  </si>
  <si>
    <t>Médiatisation/Réseaux sociaux, Intégration de l’ostéopathie dans les structures de santé</t>
  </si>
  <si>
    <t>Suivi prénatal de grossesse, Préparation à l’accouchement, Douleurs lombaires et/ou pelviennes</t>
  </si>
  <si>
    <t>Exercices/Etirements, Traitements médicamenteux (antalgiques/analgésiques), Conseils posturaux</t>
  </si>
  <si>
    <t>Repos/Limitation de mouvement, Exercices/Etirements, Traitements médicamenteux (antalgiques/analgésiques)</t>
  </si>
  <si>
    <t>Réduction du coût des séances pour les patientes, Remboursement des séances</t>
  </si>
  <si>
    <t>je viens d'un département pauvre en professionnel de santé de tout ordre, avec une population pauvre...</t>
  </si>
  <si>
    <t xml:space="preserve">Coût pour les patientes, Difficulté d'accès à des professionnels </t>
  </si>
  <si>
    <t>Caractère chronique ou aigu des douleurs, Réponse ou non aux autres traitements, Spécialisation de l’ostéopathe en périnatalité, Disponibilité et/ou accessibilité d’ostéopathes dans votre réseau, Collaboration interprofessionnelle préexistante</t>
  </si>
  <si>
    <t xml:space="preserve">Fertilité, Nouveau-né </t>
  </si>
  <si>
    <t>Intégration de l’ostéopathie dans les structures de santé</t>
  </si>
  <si>
    <t>Spécialisation de l’ostéopathe en périnatalité, Collaboration interprofessionnelle préexistante</t>
  </si>
  <si>
    <t>Sage femme acupunctrice , je recommanderais la séance d'ostéopathie mais à distance de la séance d'acupuncture .</t>
  </si>
  <si>
    <t>je me souviens d'une collaboration fructueuse entre ostéopathe et sage femme pour les présentations du siege et après naissance difficile pour les foetus , difficulté d'allaitement .</t>
  </si>
  <si>
    <t xml:space="preserve">Collaboration interprofessionnelle, Favorable à l'intégration de l'ostéopathie, Efficacité perçue, Nouveaux-nés, Allaitement, Présentation en siège,  </t>
  </si>
  <si>
    <t>les sages femmes et les ostéopathes sont un excellent binomes pour aider les femmes enceintes .</t>
  </si>
  <si>
    <t xml:space="preserve">Favorable à l'intégration de l'ostéopathie, Collaboration interprofessionnelle  </t>
  </si>
  <si>
    <t>Caractère chronique ou aigu des douleurs, Spécialisation de l’ostéopathe en périnatalité, Disponibilité et/ou accessibilité d’ostéopathes dans votre réseau, Expérience personnelle antérieure positive ou négative avec l’ostéopathie</t>
  </si>
  <si>
    <t>Absence de connaissances sur la pratique ostéopathique, Insuffisance de preuves scientifiques, Insuffisance de collaboration interprofessionnelle avec des ostéopathes, Absence de reconnaissance institutionnelle</t>
  </si>
  <si>
    <t>Absence de reconnaissance institutionnelle</t>
  </si>
  <si>
    <t>Expérience personnelle antérieure positive ou négative avec l’ostéopathie</t>
  </si>
  <si>
    <t>Preuves de résultats positifs des traitements ostéopathiques, Demande des patientes, Formations sémiologiques supplémentaires des ostéopathes, Mise en place de protocoles règlementés</t>
  </si>
  <si>
    <t>Total</t>
  </si>
  <si>
    <t>Présence de réticences professionnelles à l'ostéopathie</t>
  </si>
  <si>
    <t>Intérêt scientifique</t>
  </si>
  <si>
    <t>Etude intéressante</t>
  </si>
  <si>
    <t>Non recommandation institutionnelle de l'ostéopathie</t>
  </si>
  <si>
    <t>Convictions personnelles</t>
  </si>
  <si>
    <t>Collaboration interprofessionnelle</t>
  </si>
  <si>
    <t xml:space="preserve">Favorable à l'intégration de l'ostéopathie  </t>
  </si>
  <si>
    <t>Expérience personnelle positive</t>
  </si>
  <si>
    <t>Difficulté d'accès à des professionnels</t>
  </si>
  <si>
    <t>Etude intéressante, Intérêt scientifique, Présence de réticences professionnelles à l'ostéopathie</t>
  </si>
  <si>
    <t>Coût pour les patientes, Difficulté d'accès à des professionnels</t>
  </si>
  <si>
    <t>Favorable à l’intégration de l’ostéopathie</t>
  </si>
  <si>
    <t>Spécialisation en périnatalité</t>
  </si>
  <si>
    <t>Bénéfices subjectifs</t>
  </si>
  <si>
    <t>Coût pout les patientes</t>
  </si>
  <si>
    <t xml:space="preserve">Freins éthiques et scientifiques </t>
  </si>
  <si>
    <t>Limites institutionnelles à la mise en place de collaborations interprofessionnelles</t>
  </si>
  <si>
    <t>Efficacité perçue</t>
  </si>
  <si>
    <t>Présentation en siège</t>
  </si>
  <si>
    <t>Allaitement</t>
  </si>
  <si>
    <t>Nouveaux-nés</t>
  </si>
  <si>
    <t>Favorable à l’intégration de l’ostéopathie, Collaboration interprofessionnelle, Spécialisation en périnatalité</t>
  </si>
  <si>
    <t>Manque d’informations sur les pratiques ostéopathiques en périnatalité</t>
  </si>
  <si>
    <t>Collaboration interprofessionnelle, Favorable à l'intégration de l'ostéopathie, Manque d’informations sur les pratiques ostéopathiques en périnatalité</t>
  </si>
  <si>
    <t>Collaboration interprofessionnelle, Favorable à l'intégration de l'ostéopathie, Efficacité perçue, Nouveaux-nés, Allaitement, Présentation en siège</t>
  </si>
  <si>
    <t>Absence de connaissances sur la pratique ostéopathique</t>
  </si>
  <si>
    <t>Absence de connaissances sur le syndrome de Lacomme</t>
  </si>
  <si>
    <t>Banalisation du syndrome de Lacomme</t>
  </si>
  <si>
    <t>Impact des avis médicaux</t>
  </si>
  <si>
    <t>Limites des pratiques ostéopathiques</t>
  </si>
  <si>
    <t>Recommandation institutionnelle</t>
  </si>
  <si>
    <t>Soulagement temporaire</t>
  </si>
  <si>
    <t>Suivi régulier préventif</t>
  </si>
  <si>
    <t>Efficacité perçue, Soulagement temporaire</t>
  </si>
  <si>
    <t>Efficacité perçue, Limites des pratiques ostéopathiques</t>
  </si>
  <si>
    <t>Formations sémiologiques supplémentaires des ostéopathes</t>
  </si>
  <si>
    <t xml:space="preserve"> Encadrement institutionnel et recommandations officielles</t>
  </si>
  <si>
    <t>Collaboration interprofessionnelle préexistante</t>
  </si>
  <si>
    <t>Disponibilité et/ou accessibilité d’ostéopathes dans votre réseau</t>
  </si>
  <si>
    <t>Reconnaissance institutionnelle</t>
  </si>
  <si>
    <t>Difficultés d’accès aux thérapies non médicamenteuses</t>
  </si>
  <si>
    <t xml:space="preserve">Insuffisance d'examen clinique spécifique </t>
  </si>
  <si>
    <t xml:space="preserve">Total </t>
  </si>
  <si>
    <t xml:space="preserve"> Recours aux examens complémentaires</t>
  </si>
  <si>
    <t xml:space="preserve">Démarche de la patiente </t>
  </si>
  <si>
    <t xml:space="preserve">Examen clinique </t>
  </si>
  <si>
    <t xml:space="preserve">Interrogatoire </t>
  </si>
  <si>
    <t xml:space="preserve">Douleurs lombaires et/ou pelviennes </t>
  </si>
  <si>
    <t>Fertilité</t>
  </si>
  <si>
    <t>Nouveau-né</t>
  </si>
  <si>
    <t xml:space="preserve">Préparation à l'accouchement </t>
  </si>
  <si>
    <t xml:space="preserve">Sphère émotionnelle </t>
  </si>
  <si>
    <t>Troubles digestifs associés</t>
  </si>
  <si>
    <t xml:space="preserve">Favorable à l’intégration de l’ostéopathie, Collaboration interprofessionnelle, Spécialisation en périnatalité  </t>
  </si>
  <si>
    <t xml:space="preserve">Nouveaux-nés, Efficacité perçue </t>
  </si>
  <si>
    <t xml:space="preserve">Insuffisance de preuves scientifiques, Non recommandation institutionnelle de l'ostéopathie, Convictions personnelles, Présence de réticences professionnelles à l'ostéopathie </t>
  </si>
  <si>
    <t xml:space="preserve">Favorable à l'intégration de l'ostéopathie, Collaboration interprofessionnelle </t>
  </si>
  <si>
    <t xml:space="preserve">Bénéfices subjectifs, Insuffisance de preuves scientifiques, Coût pout les patientes, Collaboration interprofessionnelle </t>
  </si>
  <si>
    <t xml:space="preserve">Efficacité perçue, Collaboration interprofessionnelle, Favorable à l'intégration de l'ostéopathie, Nouveaux-nés </t>
  </si>
  <si>
    <t xml:space="preserve">Favorable à l'intégration de l'ostéopathie, Formation en périnatalité, Collaboration interprofessionnelle </t>
  </si>
  <si>
    <t xml:space="preserve">Collaboration interprofessionnelle, Favorable à l'intégration de l'ostéopathie, Efficacité perçue </t>
  </si>
  <si>
    <t xml:space="preserve">Favorable à l'intégration de l'ostéopathie, Absence de recommandation institutionnelle, Manque d’informations sur les pratiques et spécialisations ostéopathiques en périnatalité </t>
  </si>
  <si>
    <t xml:space="preserve">Collaboration interprofessionnelle, Suivi régulier préventif, Recommandation institutionnelle, Favorable à l'intégration de l'ostéopathie </t>
  </si>
  <si>
    <t xml:space="preserve">Efficacité perçue, Impact des avis médicaux, Recommandation institutionnelle </t>
  </si>
  <si>
    <t xml:space="preserve">Collaboration interprofessionnelle, Absence de connaissances sur la pratique ostéopathique, Favorable à l'intégration de l'ostéopathie </t>
  </si>
  <si>
    <t>5 = Très bonnes connaissances</t>
  </si>
  <si>
    <t>4 = Bonnes connaissances</t>
  </si>
  <si>
    <t>2 = Peu de connaissances</t>
  </si>
  <si>
    <t>1 = Aucunes connaissances</t>
  </si>
  <si>
    <t xml:space="preserve">3 = Connaissances générales </t>
  </si>
  <si>
    <t xml:space="preserve">1 = Non pas du tout </t>
  </si>
  <si>
    <t xml:space="preserve">5 = Oui tout à fait </t>
  </si>
  <si>
    <t>2 = Plutôt non</t>
  </si>
  <si>
    <t xml:space="preserve">4 = Plutôt oui </t>
  </si>
  <si>
    <t xml:space="preserve">3 = Moyennement </t>
  </si>
  <si>
    <t xml:space="preserve">1 = Sans intérêt </t>
  </si>
  <si>
    <t xml:space="preserve">5 = Très utile </t>
  </si>
  <si>
    <t xml:space="preserve">4 = Utile  </t>
  </si>
  <si>
    <t xml:space="preserve">2 = Peu utile </t>
  </si>
  <si>
    <t xml:space="preserve">3 = Utilité modérée  </t>
  </si>
  <si>
    <t>1 = Aucune connaissance</t>
  </si>
  <si>
    <t xml:space="preserve">2 = Plutôt non </t>
  </si>
  <si>
    <t xml:space="preserve">4 = Plutôt oui  </t>
  </si>
  <si>
    <t xml:space="preserve">1 = Non, pas du tout </t>
  </si>
  <si>
    <t>5 = Oui, tout à fait</t>
  </si>
  <si>
    <t xml:space="preserve">3 = Moyennement  </t>
  </si>
  <si>
    <t xml:space="preserve">5 = Oui, tout à fait  </t>
  </si>
  <si>
    <t>ok</t>
  </si>
  <si>
    <t>Count of Êtes-vous</t>
  </si>
  <si>
    <t>%</t>
  </si>
  <si>
    <t>Somme de %</t>
  </si>
  <si>
    <t>Count of Dans quelle structure exercez-vous ?</t>
  </si>
  <si>
    <t>Suivi prénatal de grossesse (n=51)</t>
  </si>
  <si>
    <t>Préparation à l'accouchement  (n=21)</t>
  </si>
  <si>
    <t>Douleurs lombaires et/ou pelviennes  (n=97)</t>
  </si>
  <si>
    <t>Troubles digestifs associés (n=21)</t>
  </si>
  <si>
    <t>Post-partum (n=85)</t>
  </si>
  <si>
    <t>Fertilité (n=11)</t>
  </si>
  <si>
    <t>Allaitement (n=20)</t>
  </si>
  <si>
    <t>Sphère émotionnelle  (n=10)</t>
  </si>
  <si>
    <t>Nouveau-né (n=4)</t>
  </si>
  <si>
    <t>Suivi prénatal de grossesse, Douleurs lombaires et/ou pelviennes, Troubles digestifs associés, Post-partum, Fertilité</t>
  </si>
  <si>
    <t xml:space="preserve">Absence de reconnaissance institutionnelle, Insuffisance de preuves scientifiques  </t>
  </si>
  <si>
    <t>Réponse ou non aux autres traitements, Motivation des patientes pour une prise en charge manuelle complémentaire, Disponibilité et/ou accessibilité d’ostéopathes dans votre réseau, Collaboration interprofessionnelle préexistante, Coût pour les patientes</t>
  </si>
  <si>
    <t>Disponibilité et/ou accessibilité d’ostéopathes dans votre réseau, Coût pour les patientes</t>
  </si>
  <si>
    <t>Caractère chronique ou aigu des douleurs, Réponse ou non aux autres traitements, Spécialisation de l’ostéopathe en périnatalité, Motivation des patientes pour une prise en charge manuelle complémentaire, Collaboration interprofessionnelle préexistante</t>
  </si>
  <si>
    <t>Count of Si oui, à quel moment ?</t>
  </si>
  <si>
    <t>Peu de contenus pédagogiques sur les principes ostéopathiques inscrits au parcours académique (n=74)</t>
  </si>
  <si>
    <t>Absence de connaissances sur la pratique ostéopathique (n=72)</t>
  </si>
  <si>
    <t>Insuffisance de preuves scientifiques (n=73)</t>
  </si>
  <si>
    <t>Insuffisance de collaboration interprofessionnelle avec des ostéopathes (n=62)</t>
  </si>
  <si>
    <t>Coût pour les patientes (n=100)</t>
  </si>
  <si>
    <t>Absence de reconnaissance institutionnelle (n=72)</t>
  </si>
  <si>
    <t>Spécialisation de l’ostéopathe en périnatalité, Coût pour les patientes</t>
  </si>
  <si>
    <t>Caractère chronique ou aigu des douleurs (n=72)</t>
  </si>
  <si>
    <t>Réponse ou non aux autres traitements (n=59)</t>
  </si>
  <si>
    <t>Spécialisation de l’ostéopathe en périnatalité (n=83)</t>
  </si>
  <si>
    <t>Motivation des patientes pour une prise en charge manuelle complémentaire (n=97)</t>
  </si>
  <si>
    <t>Moment de la douleur (n=11)</t>
  </si>
  <si>
    <t>Disponibilité et/ou accessibilité d’ostéopathes dans votre réseau (n=54)</t>
  </si>
  <si>
    <t>Collaboration interprofessionnelle préexistante (n=45)</t>
  </si>
  <si>
    <t>Convictions personnelles concernant cette approche thérapeutique (n=64)</t>
  </si>
  <si>
    <t>Expérience personnelle antérieure positive ou négative avec l’ostéopathie (n=49)</t>
  </si>
  <si>
    <t>Coût pour les patientes (n=4)</t>
  </si>
  <si>
    <t>Preuves de résultats positifs des traitements ostéopathiques (n=104)</t>
  </si>
  <si>
    <t>Demande des patientes (n=68)</t>
  </si>
  <si>
    <t>Formations sémiologiques supplémentaires des ostéopathes (n=39)</t>
  </si>
  <si>
    <t>Recommandations par d’autres professionnels de santé (n=36)</t>
  </si>
  <si>
    <t>Absence ou inefficacité d’autres solutions thérapeutiques (n=16)</t>
  </si>
  <si>
    <t>Mise en place de protocoles règlementés (n=79)</t>
  </si>
  <si>
    <t xml:space="preserve"> Encadrement institutionnel et recommandations officielles (n=104)</t>
  </si>
  <si>
    <t>Présence de réticences professionnelles à l'ostéopathie (n=2)</t>
  </si>
  <si>
    <t>Intérêt scientifique (n=1)</t>
  </si>
  <si>
    <t>Etude intéressante (n=1)</t>
  </si>
  <si>
    <t>Insuffisance de preuves scientifiques (n=1)</t>
  </si>
  <si>
    <t>Non recommandation institutionnelle de l'ostéopathie (n=1)</t>
  </si>
  <si>
    <t>Convictions personnelles (n=1)</t>
  </si>
  <si>
    <t>Collaboration interprofessionnelle (n=5)</t>
  </si>
  <si>
    <t>Favorable à l'intégration de l'ostéopathie   (n=5)</t>
  </si>
  <si>
    <t>Coût pour les patientes  (n=2)</t>
  </si>
  <si>
    <t>Expérience personnelle positive (n=1)</t>
  </si>
  <si>
    <t>Difficulté d'accès à des professionnels (n=1)</t>
  </si>
  <si>
    <t>Favorable à l’intégration de l’ostéopathie (n=1)</t>
  </si>
  <si>
    <t>Collaboration interprofessionnelle (n=12)</t>
  </si>
  <si>
    <t>Spécialisation en périnatalité (n=1)</t>
  </si>
  <si>
    <t>Bénéfices subjectifs (n=1)</t>
  </si>
  <si>
    <t>Insuffisance de preuves scientifiques (n=2)</t>
  </si>
  <si>
    <t>Coût pout les patientes (n=1)</t>
  </si>
  <si>
    <t>Freins éthiques et scientifiques  (n=1)</t>
  </si>
  <si>
    <t>Limites institutionnelles à la mise en place de collaborations interprofessionnelles (n=1)</t>
  </si>
  <si>
    <t>Efficacité perçue (n=6)</t>
  </si>
  <si>
    <t>Présentation en siège (n=1)</t>
  </si>
  <si>
    <t>Allaitement (n=1)</t>
  </si>
  <si>
    <t>Nouveaux-nés (n=3)</t>
  </si>
  <si>
    <t>Absence de recommandation institutionnelle  (n=2)</t>
  </si>
  <si>
    <t>Manque d’informations sur les pratiques ostéopathiques en périnatalité (n=1)</t>
  </si>
  <si>
    <t>Absence de connaissances sur la pratique ostéopathique (n=1)</t>
  </si>
  <si>
    <t>Absence de connaissances sur le syndrome de Lacomme (n=1)</t>
  </si>
  <si>
    <t>Banalisation du syndrome de Lacomme (n=1)</t>
  </si>
  <si>
    <t>Collaboration interprofessionnelle (n=3)</t>
  </si>
  <si>
    <t>Efficacité perçue (n=4)</t>
  </si>
  <si>
    <t>Favorable à l'intégration de l'ostéopathie (n=4)</t>
  </si>
  <si>
    <t>Impact des avis médicaux (n=1)</t>
  </si>
  <si>
    <t>Limites des pratiques ostéopathiques (n=1)</t>
  </si>
  <si>
    <t>Recommandation institutionnelle (n=2)</t>
  </si>
  <si>
    <t>Soulagement temporaire (n=2)</t>
  </si>
  <si>
    <t>Suivi régulier préventif (n=1)</t>
  </si>
  <si>
    <t>Contenus pédagogiques sur les principes ostéopathiques inscrits au parcours académique (n=85)</t>
  </si>
  <si>
    <t>Intégration de l’ostéopathie dans les structures de santé (n=86)</t>
  </si>
  <si>
    <t>Médiatisation/Réseaux sociaux (n=24)</t>
  </si>
  <si>
    <t>Preuves scientifiques (n=95)</t>
  </si>
  <si>
    <t>Reconnaissance institutionnelle (n=83)</t>
  </si>
  <si>
    <t>Réduction du coût des séances pour les patientes (n=95)</t>
  </si>
  <si>
    <t>Retours de patientes (n=50)</t>
  </si>
  <si>
    <t>1 = Non, pas du tout  (n=45)</t>
  </si>
  <si>
    <t>2 = Plutôt non  (n=62)</t>
  </si>
  <si>
    <t>3 = Moyennement   (n=31)</t>
  </si>
  <si>
    <t>4 = Plutôt oui  (n=12)</t>
  </si>
  <si>
    <t>5 = Oui, tout à fait   (n=1)</t>
  </si>
  <si>
    <t>1 = Non, pas du tout  (n=3)</t>
  </si>
  <si>
    <t>2 = Plutôt non  (n=5)</t>
  </si>
  <si>
    <t>3 = Moyennement  (n=18)</t>
  </si>
  <si>
    <t>4 = Plutôt oui   (n=64)</t>
  </si>
  <si>
    <t>5 = Oui, tout à fait (n=61)</t>
  </si>
  <si>
    <t>1 = Aucunes connaissances (n=5)</t>
  </si>
  <si>
    <t>2 = Peu de connaissances (n=33)</t>
  </si>
  <si>
    <t>3 = Connaissances générales  (n=52)</t>
  </si>
  <si>
    <t>4 = Bonnes connaissances (n=50)</t>
  </si>
  <si>
    <t>5 = Très bonnes connaissances (n=11)</t>
  </si>
  <si>
    <t xml:space="preserve"> Recours aux examens complémentaires (n=2)</t>
  </si>
  <si>
    <t>Démarche de la patiente  (n=1)</t>
  </si>
  <si>
    <t>En excluant d’autres causes possibles de douleurs pelviennes pendant la grossesse (n=105)</t>
  </si>
  <si>
    <t>Examen clinique  (n=89)</t>
  </si>
  <si>
    <t>Interrogatoire  (n=143)</t>
  </si>
  <si>
    <t>1 = Aucune connaissance (n=22)</t>
  </si>
  <si>
    <t>2 = Peu de connaissances (n=53)</t>
  </si>
  <si>
    <t>3 = Connaissances générales  (n=45)</t>
  </si>
  <si>
    <t>4 = Bonnes connaissances (n=28)</t>
  </si>
  <si>
    <t>5 = Très bonnes connaissances (n=3)</t>
  </si>
  <si>
    <t>1 = Sans intérêt  (n=3)</t>
  </si>
  <si>
    <t>2 = Peu utile  (n=9)</t>
  </si>
  <si>
    <t>3 = Utilité modérée   (n=41)</t>
  </si>
  <si>
    <t>4 = Utile   (n=60)</t>
  </si>
  <si>
    <t>5 = Très utile  (n=38)</t>
  </si>
  <si>
    <t>1 = Non pas du tout  (n=26)</t>
  </si>
  <si>
    <t>2 = Plutôt non (n=42)</t>
  </si>
  <si>
    <t>3 = Moyennement  (n=37)</t>
  </si>
  <si>
    <t>4 = Plutôt oui  (n=40)</t>
  </si>
  <si>
    <t>5 = Oui tout à fait  (n=6)</t>
  </si>
  <si>
    <t>Absence de recommandations professionnelles claires (n=63)</t>
  </si>
  <si>
    <t>Assimilation du syndrome à des lombalgies non spécifiques (n=54)</t>
  </si>
  <si>
    <t>Difficultés d’accès aux thérapies non médicamenteuses (n=31)</t>
  </si>
  <si>
    <t>Insuffisance d'examen clinique spécifique  (n=1)</t>
  </si>
  <si>
    <t>Sous-estimation des plaintes des patientes (n=58)</t>
  </si>
  <si>
    <t>Q1 : Êtes-vous</t>
  </si>
  <si>
    <t>Q8 : La collaboration avec un(e) ostéopathe fait-elle partie intégrante de votre pratique ?</t>
  </si>
  <si>
    <t>Ceinture de maintien/Support pelvien (n=6)</t>
  </si>
  <si>
    <t>Conseils posturaux (n=8)</t>
  </si>
  <si>
    <t>Exercices/Etirements (n=4)</t>
  </si>
  <si>
    <t>Ostéopathie (n=9)</t>
  </si>
  <si>
    <t>Repos/Limitation de mouvement (n=73)</t>
  </si>
  <si>
    <t>Traitements médicamenteux (antalgiques/analgésiques) (n=30)</t>
  </si>
  <si>
    <t>Ceinture de maintien/Support pelvien (n=21)</t>
  </si>
  <si>
    <t>Conseils posturaux (n=15)</t>
  </si>
  <si>
    <t>Exercices/Etirements (n=12)</t>
  </si>
  <si>
    <t>Ostéopathie (n=14)</t>
  </si>
  <si>
    <t>Repos/Limitation de mouvement (n=27)</t>
  </si>
  <si>
    <t>Traitements médicamenteux (antalgiques/analgésiques) (n=41)</t>
  </si>
  <si>
    <t>Ceinture de maintien/Support pelvien (n=30)</t>
  </si>
  <si>
    <t>Conseils posturaux (n=17)</t>
  </si>
  <si>
    <t>Exercices/Etirements (n=18)</t>
  </si>
  <si>
    <t>Ostéopathie (n=23)</t>
  </si>
  <si>
    <t>Repos/Limitation de mouvement (n=11)</t>
  </si>
  <si>
    <t>Traitements médicamenteux (antalgiques/analgésiques) (n=31)</t>
  </si>
  <si>
    <t>Ceinture de maintien/Support pelvien (n=26)</t>
  </si>
  <si>
    <t>Conseils posturaux (n=27)</t>
  </si>
  <si>
    <t>Exercices/Etirements (n=30)</t>
  </si>
  <si>
    <t>Ostéopathie (n=32)</t>
  </si>
  <si>
    <t>Repos/Limitation de mouvement (n=6)</t>
  </si>
  <si>
    <t>Traitements médicamenteux (antalgiques/analgésiques) (n=9)</t>
  </si>
  <si>
    <t>Ceinture de maintien/Support pelvien (n=23)</t>
  </si>
  <si>
    <t>Conseils posturaux (n=23)</t>
  </si>
  <si>
    <t>Exercices/Etirements (n=36)</t>
  </si>
  <si>
    <t>Ostéopathie (n=33)</t>
  </si>
  <si>
    <t>Repos/Limitation de mouvement (n=2)</t>
  </si>
  <si>
    <t>Traitements médicamenteux (antalgiques/analgésiques) (n=13)</t>
  </si>
  <si>
    <t>Ceinture de maintien/Support pelvien (n=24)</t>
  </si>
  <si>
    <t>Conseils posturaux (n=40)</t>
  </si>
  <si>
    <t>Ostéopathie (n=19)</t>
  </si>
  <si>
    <t>Traitements médicamenteux (antalgiques/analgésiques) (n=6)</t>
  </si>
  <si>
    <t>Q2 : Si vous avez coché sage-femme diplômé(e), depuis combien de temps exercez-vous ?</t>
  </si>
  <si>
    <t>Q3 : Dans quelle structure exercez-vous ?</t>
  </si>
  <si>
    <t>Q4 : Sur une échelle de 1 à 5, comment évalueriez-vous votre niveau de connaissance de l’ostéopathie ?</t>
  </si>
  <si>
    <t>Q5 : Quelle est selon vous, la place de l’ostéopathie dans la prise en charge globale de la femme enceinte ?</t>
  </si>
  <si>
    <t>Q6 : Vous sentez-vous suffisamment informé(e) sur l’ostéopathie et ses indications durant la grossesse ?</t>
  </si>
  <si>
    <t>Q7 : Avez-vous accès, au sein de votre structure, à un réseau d’ostéopathes vers lesquels orienter vos patientes ?</t>
  </si>
  <si>
    <t>Q9 : Si oui, dans quel(s) cadre(s) ?</t>
  </si>
  <si>
    <t>Q10 : Comment estimez-vous vos connaissances concernant le syndrome de Lacomme (douleurs ligamentaires lombo-pelviennes de grossesse) ?</t>
  </si>
  <si>
    <t>Q11 : Comment identifiez-vous ce syndrome dans votre pratique ?</t>
  </si>
  <si>
    <t>Q12 : A quelle fréquence rencontrez-vous des patientes présentant un syndrome de Lacomme ?</t>
  </si>
  <si>
    <t>Q13 : Estimez-vous qu’il y a un retard diagnostic à la prise en charge de ce syndrome ?</t>
  </si>
  <si>
    <t>Q14 : Si oui, quelles sont les principales raisons de ce retard diagnostic ?</t>
  </si>
  <si>
    <t>Q15 : Classez les différentes prises en charge dans l’ordre que vous recommanderiez pour une patiente atteinte du syndrome de Lacomme : [Premier choix ]</t>
  </si>
  <si>
    <t>Q15 : Classez les différentes prises en charge dans l’ordre que vous recommanderiez pour une patiente atteinte du syndrome de Lacomme : [Second choix ]</t>
  </si>
  <si>
    <t>Q15 : Classez les différentes prises en charge dans l’ordre que vous recommanderiez pour une patiente atteinte du syndrome de Lacomme : [Troisième choix ]</t>
  </si>
  <si>
    <t>Q15 : Classez les différentes prises en charge dans l’ordre que vous recommanderiez pour une patiente atteinte du syndrome de Lacomme : [Quatrième choix ]</t>
  </si>
  <si>
    <t>Q15 : Classez les différentes prises en charge dans l’ordre que vous recommanderiez pour une patiente atteinte du syndrome de Lacomme : [Cinquième choix ]</t>
  </si>
  <si>
    <t>Q15 : Classez les différentes prises en charge dans l’ordre que vous recommanderiez pour une patiente atteinte du syndrome de Lacomme : [Sixième choix ]</t>
  </si>
  <si>
    <t>Q17 : Si oui, à quel moment ?</t>
  </si>
  <si>
    <t>Q16 : Pensez-vous que l'ostéopathie constitue une approche pertinente pour traiter le syndrome de Lacomme et qu’elle mérite d’être recommandée aux patientes concernées ?</t>
  </si>
  <si>
    <t>Q18 : Pensez-vous que les patientes sont suffisamment informées sur les possibilités de prises en charge ostéopathiques du syndrome de Lacomme ?</t>
  </si>
  <si>
    <t>Q19 : Quels sont les facteurs qui permettraient de favoriser l’intégration de l’ostéopathie dans la prise en charge du syndrome de Lacomme ?</t>
  </si>
  <si>
    <t>Q20 : Quels sont, selon vous, les freins à l’intégration de l’ostéopathie dans la pratique sage-femme ?</t>
  </si>
  <si>
    <t>Q21 : Quels sont les facteurs qui influencent votre décision de recommander ou non l’ostéopathie ?</t>
  </si>
  <si>
    <t>Q22 : Les recommandations officielles (HAS, CNGOF, Ordre des sages-femmes) influencent-elles votre décision d’orienter vers l’ostéopathie ?</t>
  </si>
  <si>
    <t>Q23 : Pensez-vous que la collaboration entre sages-femmes et ostéopathes pourrait améliorer la prise en charge des femmes enceintes ?</t>
  </si>
  <si>
    <t>Q24 : Seriez-vous favorable à l’intégration d’ostéopathes dans les équipes pluridisciplinaires périnatales ?</t>
  </si>
  <si>
    <t>Q25 : Quels éléments pourraient favoriser une meilleure collaboration entre sages-femmes et ostéopathes ?</t>
  </si>
  <si>
    <t>Q26 : Souhaitez-vous partager une expérience ou un avis personnel concernant l’ostéopathie dans la prise en charge du syndrome de Lacomme ?</t>
  </si>
  <si>
    <t>Q27 : Souhaitez-vous partager une expérience ou un avis personnel concernant l’ostéopathie et la collaboration avec les sages-femmes ?</t>
  </si>
  <si>
    <t>Q28 : Y a-t-il un élément ou un commentaire supplémentaire que vous souhaiteriez apporter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</si>
</sst>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Aptos Narrow"/>
      <family val="2"/>
    </font>
    <font>
      <sz val="11"/>
      <color theme="1"/>
      <name val="Calibri"/>
      <family val="2"/>
      <scheme val="minor"/>
    </font>
    <font>
      <sz val="10"/>
      <color rgb="FFFFFFFF"/>
      <name val="Roboto"/>
    </font>
    <font>
      <sz val="10"/>
      <color rgb="FF434343"/>
      <name val="Roboto"/>
    </font>
    <font>
      <sz val="10"/>
      <color rgb="FF000000"/>
      <name val="Arial"/>
      <family val="2"/>
    </font>
    <font>
      <sz val="11"/>
      <color rgb="FF000000"/>
      <name val="Aptos Narrow"/>
      <family val="2"/>
    </font>
    <font>
      <sz val="10"/>
      <name val="Roboto"/>
    </font>
    <font>
      <sz val="10"/>
      <name val="Arial"/>
      <family val="2"/>
    </font>
    <font>
      <sz val="8"/>
      <name val="Aptos Narrow"/>
      <family val="2"/>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20">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FFFFFF"/>
      </top>
      <bottom/>
      <diagonal/>
    </border>
    <border>
      <left style="thin">
        <color rgb="FF999999"/>
      </left>
      <right style="thin">
        <color rgb="FF999999"/>
      </right>
      <top style="thin">
        <color rgb="FFFFFFFF"/>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5B3F86"/>
      </right>
      <top style="thin">
        <color rgb="FF000000"/>
      </top>
      <bottom style="thin">
        <color rgb="FF442F65"/>
      </bottom>
      <diagonal/>
    </border>
    <border>
      <left style="thin">
        <color rgb="FF000000"/>
      </left>
      <right style="thin">
        <color rgb="FFFFFFFF"/>
      </right>
      <top style="thin">
        <color rgb="FF000000"/>
      </top>
      <bottom style="thin">
        <color rgb="FFF8F9FA"/>
      </bottom>
      <diagonal/>
    </border>
    <border>
      <left style="thin">
        <color rgb="FF000000"/>
      </left>
      <right style="thin">
        <color rgb="FFF8F9FA"/>
      </right>
      <top style="thin">
        <color rgb="FF000000"/>
      </top>
      <bottom style="thin">
        <color rgb="FFF8F9FA"/>
      </bottom>
      <diagonal/>
    </border>
    <border>
      <left style="thin">
        <color rgb="FF000000"/>
      </left>
      <right style="thin">
        <color rgb="FFFFFFFF"/>
      </right>
      <top style="thin">
        <color rgb="FF000000"/>
      </top>
      <bottom style="thin">
        <color rgb="FF000000"/>
      </bottom>
      <diagonal/>
    </border>
    <border>
      <left style="thin">
        <color rgb="FF000000"/>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4">
    <xf numFmtId="0" fontId="0" fillId="0" borderId="0"/>
    <xf numFmtId="9" fontId="5" fillId="0" borderId="0" applyFont="0" applyFill="0" applyBorder="0" applyAlignment="0" applyProtection="0"/>
    <xf numFmtId="0" fontId="1" fillId="0" borderId="0"/>
    <xf numFmtId="9" fontId="1" fillId="0" borderId="0" applyFont="0" applyFill="0" applyBorder="0" applyAlignment="0" applyProtection="0"/>
  </cellStyleXfs>
  <cellXfs count="66">
    <xf numFmtId="0" fontId="0" fillId="0" borderId="0" xfId="0"/>
    <xf numFmtId="0" fontId="0" fillId="0" borderId="1" xfId="0" applyBorder="1"/>
    <xf numFmtId="0" fontId="0" fillId="0" borderId="2" xfId="0" applyBorder="1"/>
    <xf numFmtId="0" fontId="0" fillId="0" borderId="1" xfId="0" applyBorder="1" applyAlignment="1">
      <alignment horizontal="left"/>
    </xf>
    <xf numFmtId="0" fontId="0" fillId="0" borderId="3"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0" fontId="2" fillId="2" borderId="7" xfId="0" applyFont="1" applyFill="1" applyBorder="1" applyAlignment="1">
      <alignment wrapText="1" readingOrder="1"/>
    </xf>
    <xf numFmtId="0" fontId="3" fillId="3" borderId="8" xfId="0" applyFont="1" applyFill="1" applyBorder="1" applyAlignment="1">
      <alignment wrapText="1" readingOrder="1"/>
    </xf>
    <xf numFmtId="0" fontId="3" fillId="4" borderId="9" xfId="0" applyFont="1" applyFill="1" applyBorder="1" applyAlignment="1">
      <alignment wrapText="1" readingOrder="1"/>
    </xf>
    <xf numFmtId="0" fontId="3" fillId="3" borderId="10" xfId="0" applyFont="1" applyFill="1" applyBorder="1" applyAlignment="1">
      <alignment wrapText="1" readingOrder="1"/>
    </xf>
    <xf numFmtId="0" fontId="4" fillId="3" borderId="8" xfId="0" applyFont="1" applyFill="1" applyBorder="1" applyAlignment="1">
      <alignment wrapText="1" readingOrder="1"/>
    </xf>
    <xf numFmtId="0" fontId="4" fillId="4" borderId="9" xfId="0" applyFont="1" applyFill="1" applyBorder="1" applyAlignment="1">
      <alignment wrapText="1" readingOrder="1"/>
    </xf>
    <xf numFmtId="0" fontId="4" fillId="3" borderId="10" xfId="0" applyFont="1" applyFill="1" applyBorder="1" applyAlignment="1">
      <alignment wrapText="1" readingOrder="1"/>
    </xf>
    <xf numFmtId="0" fontId="0" fillId="0" borderId="0" xfId="0" pivotButton="1"/>
    <xf numFmtId="0" fontId="3" fillId="3" borderId="11" xfId="0" applyFont="1" applyFill="1" applyBorder="1" applyAlignment="1">
      <alignment wrapText="1" readingOrder="1"/>
    </xf>
    <xf numFmtId="0" fontId="3" fillId="4" borderId="11" xfId="0" applyFont="1" applyFill="1" applyBorder="1" applyAlignment="1">
      <alignment wrapText="1" readingOrder="1"/>
    </xf>
    <xf numFmtId="0" fontId="0" fillId="0" borderId="12" xfId="0" pivotButton="1" applyBorder="1"/>
    <xf numFmtId="0" fontId="0" fillId="0" borderId="13" xfId="0" applyBorder="1"/>
    <xf numFmtId="0" fontId="0" fillId="0" borderId="12"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0" xfId="1" applyNumberFormat="1" applyFont="1"/>
    <xf numFmtId="164" fontId="0" fillId="0" borderId="0" xfId="0" applyNumberFormat="1"/>
    <xf numFmtId="0" fontId="6" fillId="3" borderId="8" xfId="0" applyFont="1" applyFill="1" applyBorder="1" applyAlignment="1">
      <alignment wrapText="1" readingOrder="1"/>
    </xf>
    <xf numFmtId="0" fontId="0" fillId="0" borderId="18" xfId="0" applyBorder="1"/>
    <xf numFmtId="0" fontId="0" fillId="0" borderId="19" xfId="0" applyBorder="1"/>
    <xf numFmtId="0" fontId="0" fillId="0" borderId="5" xfId="0" applyBorder="1"/>
    <xf numFmtId="0" fontId="0" fillId="0" borderId="0" xfId="0" applyAlignment="1">
      <alignment vertical="center" wrapText="1"/>
    </xf>
    <xf numFmtId="164" fontId="0" fillId="0" borderId="0" xfId="1" applyNumberFormat="1" applyFont="1" applyAlignment="1">
      <alignment vertical="center" wrapText="1"/>
    </xf>
    <xf numFmtId="9" fontId="0" fillId="0" borderId="0" xfId="1" applyFont="1"/>
    <xf numFmtId="0" fontId="2" fillId="2" borderId="7" xfId="0" applyFont="1" applyFill="1" applyBorder="1" applyAlignment="1">
      <alignment vertical="center" wrapText="1" readingOrder="1"/>
    </xf>
    <xf numFmtId="0" fontId="3" fillId="3" borderId="8" xfId="0" applyFont="1" applyFill="1" applyBorder="1" applyAlignment="1">
      <alignment vertical="center" wrapText="1" readingOrder="1"/>
    </xf>
    <xf numFmtId="0" fontId="3" fillId="4" borderId="9" xfId="0" applyFont="1" applyFill="1" applyBorder="1" applyAlignment="1">
      <alignment vertical="center" wrapText="1" readingOrder="1"/>
    </xf>
    <xf numFmtId="0" fontId="3" fillId="3" borderId="10" xfId="0" applyFont="1" applyFill="1" applyBorder="1" applyAlignment="1">
      <alignment vertical="center" wrapText="1" readingOrder="1"/>
    </xf>
    <xf numFmtId="0" fontId="4" fillId="3" borderId="8" xfId="0" applyFont="1" applyFill="1" applyBorder="1" applyAlignment="1">
      <alignment vertical="center" wrapText="1" readingOrder="1"/>
    </xf>
    <xf numFmtId="0" fontId="4" fillId="4" borderId="9" xfId="0" applyFont="1" applyFill="1" applyBorder="1" applyAlignment="1">
      <alignment vertical="center" wrapText="1" readingOrder="1"/>
    </xf>
    <xf numFmtId="0" fontId="4" fillId="3" borderId="10" xfId="0" applyFont="1" applyFill="1" applyBorder="1" applyAlignment="1">
      <alignment vertical="center" wrapText="1" readingOrder="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2" fillId="2" borderId="7" xfId="0" applyFont="1" applyFill="1" applyBorder="1" applyAlignment="1">
      <alignment horizontal="center" vertical="center" wrapText="1" readingOrder="1"/>
    </xf>
    <xf numFmtId="0" fontId="3" fillId="3" borderId="8" xfId="0" applyFont="1" applyFill="1" applyBorder="1" applyAlignment="1">
      <alignment horizontal="center" vertical="center" wrapText="1" readingOrder="1"/>
    </xf>
    <xf numFmtId="0" fontId="3" fillId="4" borderId="9" xfId="0" applyFont="1" applyFill="1" applyBorder="1" applyAlignment="1">
      <alignment horizontal="center" vertical="center" wrapText="1" readingOrder="1"/>
    </xf>
    <xf numFmtId="0" fontId="3" fillId="3" borderId="10" xfId="0" applyFont="1" applyFill="1" applyBorder="1" applyAlignment="1">
      <alignment horizontal="center" vertical="center" wrapText="1" readingOrder="1"/>
    </xf>
    <xf numFmtId="164" fontId="0" fillId="0" borderId="0" xfId="1" applyNumberFormat="1" applyFont="1" applyAlignment="1">
      <alignment horizontal="center" vertical="center" wrapText="1"/>
    </xf>
    <xf numFmtId="0" fontId="0" fillId="0" borderId="0" xfId="0" pivotButton="1" applyAlignment="1">
      <alignment vertical="center" wrapText="1"/>
    </xf>
    <xf numFmtId="0" fontId="4" fillId="4" borderId="9" xfId="0" applyFont="1" applyFill="1" applyBorder="1" applyAlignment="1">
      <alignment horizontal="center" vertical="center" wrapText="1" readingOrder="1"/>
    </xf>
    <xf numFmtId="0" fontId="4" fillId="3" borderId="8" xfId="0" applyFont="1" applyFill="1" applyBorder="1" applyAlignment="1">
      <alignment horizontal="center" vertical="center" wrapText="1" readingOrder="1"/>
    </xf>
    <xf numFmtId="0" fontId="4" fillId="3" borderId="10" xfId="0" applyFont="1" applyFill="1" applyBorder="1" applyAlignment="1">
      <alignment horizontal="center" vertical="center" wrapText="1" readingOrder="1"/>
    </xf>
    <xf numFmtId="0" fontId="0" fillId="0" borderId="0" xfId="0" pivotButton="1" applyAlignment="1">
      <alignment horizontal="center" vertical="center" wrapText="1"/>
    </xf>
    <xf numFmtId="0" fontId="0" fillId="0" borderId="0" xfId="0" applyAlignment="1">
      <alignment wrapText="1"/>
    </xf>
    <xf numFmtId="0" fontId="6" fillId="4" borderId="9" xfId="0" applyFont="1" applyFill="1" applyBorder="1" applyAlignment="1">
      <alignment wrapText="1" readingOrder="1"/>
    </xf>
    <xf numFmtId="0" fontId="7" fillId="3" borderId="8" xfId="0" applyFont="1" applyFill="1" applyBorder="1" applyAlignment="1">
      <alignment wrapText="1" readingOrder="1"/>
    </xf>
    <xf numFmtId="0" fontId="0" fillId="0" borderId="1" xfId="0" applyBorder="1" applyAlignment="1">
      <alignment vertical="center"/>
    </xf>
    <xf numFmtId="0" fontId="0" fillId="0" borderId="2" xfId="0" applyBorder="1" applyAlignment="1">
      <alignment vertical="center" wrapText="1"/>
    </xf>
    <xf numFmtId="0" fontId="0" fillId="0" borderId="0" xfId="0" applyAlignment="1">
      <alignment vertical="center"/>
    </xf>
    <xf numFmtId="0" fontId="0" fillId="0" borderId="12" xfId="0" pivotButton="1" applyBorder="1" applyAlignment="1">
      <alignment vertical="center" wrapText="1"/>
    </xf>
    <xf numFmtId="0" fontId="0" fillId="0" borderId="13" xfId="0"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 xfId="0" pivotButton="1" applyBorder="1" applyAlignment="1">
      <alignment horizontal="center" vertical="center" wrapText="1"/>
    </xf>
  </cellXfs>
  <cellStyles count="4">
    <cellStyle name="Normal" xfId="0" builtinId="0" customBuiltin="1"/>
    <cellStyle name="Normal 2" xfId="2" xr:uid="{978D5DAB-D276-49DD-8327-028FA76E8EB6}"/>
    <cellStyle name="Pourcentage" xfId="1" builtinId="5"/>
    <cellStyle name="Pourcentage 2" xfId="3" xr:uid="{BAD1C65D-AC34-41F6-9B8D-6C169A186951}"/>
  </cellStyles>
  <dxfs count="44">
    <dxf>
      <alignment wrapText="1"/>
    </dxf>
    <dxf>
      <alignment horizontal="center"/>
    </dxf>
    <dxf>
      <alignment vertical="center"/>
    </dxf>
    <dxf>
      <alignment wrapText="1"/>
    </dxf>
    <dxf>
      <alignment horizontal="center"/>
    </dxf>
    <dxf>
      <alignment vertical="center"/>
    </dxf>
    <dxf>
      <alignment wrapText="1"/>
    </dxf>
    <dxf>
      <alignment horizontal="center"/>
    </dxf>
    <dxf>
      <alignment vertical="center"/>
    </dxf>
    <dxf>
      <alignment horizontal="center"/>
    </dxf>
    <dxf>
      <alignment wrapText="1"/>
    </dxf>
    <dxf>
      <alignment vertical="center"/>
    </dxf>
    <dxf>
      <alignment wrapText="1"/>
    </dxf>
    <dxf>
      <alignment horizontal="center"/>
    </dxf>
    <dxf>
      <alignment vertical="center"/>
    </dxf>
    <dxf>
      <alignment wrapText="1"/>
    </dxf>
    <dxf>
      <alignment vertical="center"/>
    </dxf>
    <dxf>
      <alignment wrapText="1"/>
    </dxf>
    <dxf>
      <alignment vertical="center"/>
    </dxf>
    <dxf>
      <alignment wrapText="1"/>
    </dxf>
    <dxf>
      <alignment wrapText="1"/>
    </dxf>
    <dxf>
      <alignment horizontal="center"/>
    </dxf>
    <dxf>
      <alignment horizontal="center"/>
    </dxf>
    <dxf>
      <alignment vertical="center"/>
    </dxf>
    <dxf>
      <alignment vertical="center"/>
    </dxf>
    <dxf>
      <alignment wrapText="1"/>
    </dxf>
    <dxf>
      <alignment vertical="center"/>
    </dxf>
    <dxf>
      <alignment wrapText="1"/>
    </dxf>
    <dxf>
      <alignment horizontal="center"/>
    </dxf>
    <dxf>
      <alignment vertical="center"/>
    </dxf>
    <dxf>
      <alignment wrapText="1"/>
    </dxf>
    <dxf>
      <alignment vertical="center"/>
    </dxf>
    <dxf>
      <alignment wrapText="1"/>
    </dxf>
    <dxf>
      <alignment vertical="center"/>
    </dxf>
    <dxf>
      <alignment wrapText="1"/>
    </dxf>
    <dxf>
      <alignment horizontal="center"/>
    </dxf>
    <dxf>
      <alignment vertical="center"/>
    </dxf>
    <dxf>
      <alignment vertical="center"/>
    </dxf>
    <dxf>
      <alignment wrapText="1"/>
    </dxf>
    <dxf>
      <alignment wrapText="1"/>
    </dxf>
    <dxf>
      <alignment wrapText="1"/>
    </dxf>
    <dxf>
      <alignment vertical="center"/>
    </dxf>
    <dxf>
      <alignment vertical="center"/>
    </dxf>
    <dxf>
      <alignment vertical="center"/>
    </dxf>
  </dxfs>
  <tableStyles count="0" defaultTableStyle="TableStyleMedium2" defaultPivotStyle="PivotStyleLight16"/>
  <colors>
    <mruColors>
      <color rgb="FFCC00CC"/>
      <color rgb="FF33CC33"/>
      <color rgb="FFFF9966"/>
      <color rgb="FFFFF467"/>
      <color rgb="FF00FFFF"/>
      <color rgb="FF99FF66"/>
      <color rgb="FFFFCC66"/>
      <color rgb="FFA6F0F2"/>
      <color rgb="FF3366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12.xml"/><Relationship Id="rId68" Type="http://schemas.openxmlformats.org/officeDocument/2006/relationships/pivotCacheDefinition" Target="pivotCache/pivotCacheDefinition17.xml"/><Relationship Id="rId84" Type="http://schemas.openxmlformats.org/officeDocument/2006/relationships/pivotCacheDefinition" Target="pivotCache/pivotCacheDefinition3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pivotCacheDefinition" Target="pivotCache/pivotCacheDefinition2.xml"/><Relationship Id="rId58" Type="http://schemas.openxmlformats.org/officeDocument/2006/relationships/pivotCacheDefinition" Target="pivotCache/pivotCacheDefinition7.xml"/><Relationship Id="rId74" Type="http://schemas.openxmlformats.org/officeDocument/2006/relationships/pivotCacheDefinition" Target="pivotCache/pivotCacheDefinition23.xml"/><Relationship Id="rId79" Type="http://schemas.openxmlformats.org/officeDocument/2006/relationships/pivotCacheDefinition" Target="pivotCache/pivotCacheDefinition28.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5.xml"/><Relationship Id="rId64" Type="http://schemas.openxmlformats.org/officeDocument/2006/relationships/pivotCacheDefinition" Target="pivotCache/pivotCacheDefinition13.xml"/><Relationship Id="rId69" Type="http://schemas.openxmlformats.org/officeDocument/2006/relationships/pivotCacheDefinition" Target="pivotCache/pivotCacheDefinition18.xml"/><Relationship Id="rId77" Type="http://schemas.openxmlformats.org/officeDocument/2006/relationships/pivotCacheDefinition" Target="pivotCache/pivotCacheDefinition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21.xml"/><Relationship Id="rId80" Type="http://schemas.openxmlformats.org/officeDocument/2006/relationships/pivotCacheDefinition" Target="pivotCache/pivotCacheDefinition29.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pivotCacheDefinition" Target="pivotCache/pivotCacheDefinition8.xml"/><Relationship Id="rId67" Type="http://schemas.openxmlformats.org/officeDocument/2006/relationships/pivotCacheDefinition" Target="pivotCache/pivotCacheDefinition1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3.xml"/><Relationship Id="rId62" Type="http://schemas.openxmlformats.org/officeDocument/2006/relationships/pivotCacheDefinition" Target="pivotCache/pivotCacheDefinition11.xml"/><Relationship Id="rId70" Type="http://schemas.openxmlformats.org/officeDocument/2006/relationships/pivotCacheDefinition" Target="pivotCache/pivotCacheDefinition19.xml"/><Relationship Id="rId75" Type="http://schemas.openxmlformats.org/officeDocument/2006/relationships/pivotCacheDefinition" Target="pivotCache/pivotCacheDefinition24.xml"/><Relationship Id="rId83" Type="http://schemas.openxmlformats.org/officeDocument/2006/relationships/pivotCacheDefinition" Target="pivotCache/pivotCacheDefinition32.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pivotCacheDefinition" Target="pivotCache/pivotCacheDefinition1.xml"/><Relationship Id="rId60" Type="http://schemas.openxmlformats.org/officeDocument/2006/relationships/pivotCacheDefinition" Target="pivotCache/pivotCacheDefinition9.xml"/><Relationship Id="rId65" Type="http://schemas.openxmlformats.org/officeDocument/2006/relationships/pivotCacheDefinition" Target="pivotCache/pivotCacheDefinition14.xml"/><Relationship Id="rId73" Type="http://schemas.openxmlformats.org/officeDocument/2006/relationships/pivotCacheDefinition" Target="pivotCache/pivotCacheDefinition22.xml"/><Relationship Id="rId78" Type="http://schemas.openxmlformats.org/officeDocument/2006/relationships/pivotCacheDefinition" Target="pivotCache/pivotCacheDefinition27.xml"/><Relationship Id="rId81" Type="http://schemas.openxmlformats.org/officeDocument/2006/relationships/pivotCacheDefinition" Target="pivotCache/pivotCacheDefinition30.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pivotCacheDefinition" Target="pivotCache/pivotCacheDefinition4.xml"/><Relationship Id="rId76" Type="http://schemas.openxmlformats.org/officeDocument/2006/relationships/pivotCacheDefinition" Target="pivotCache/pivotCacheDefinition25.xml"/><Relationship Id="rId7" Type="http://schemas.openxmlformats.org/officeDocument/2006/relationships/worksheet" Target="worksheets/sheet7.xml"/><Relationship Id="rId71" Type="http://schemas.openxmlformats.org/officeDocument/2006/relationships/pivotCacheDefinition" Target="pivotCache/pivotCacheDefinition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5.xml"/><Relationship Id="rId87" Type="http://schemas.openxmlformats.org/officeDocument/2006/relationships/sharedStrings" Target="sharedStrings.xml"/><Relationship Id="rId61" Type="http://schemas.openxmlformats.org/officeDocument/2006/relationships/pivotCacheDefinition" Target="pivotCache/pivotCacheDefinition10.xml"/><Relationship Id="rId82" Type="http://schemas.openxmlformats.org/officeDocument/2006/relationships/pivotCacheDefinition" Target="pivotCache/pivotCacheDefinition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Êtes-vous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'Q1'!$E$3</c:f>
              <c:strCache>
                <c:ptCount val="1"/>
                <c:pt idx="0">
                  <c:v>Êtes-vous ? </c:v>
                </c:pt>
              </c:strCache>
            </c:strRef>
          </c:tx>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3-720D-42D8-8FA7-DCCDF9BAB02D}"/>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720D-42D8-8FA7-DCCDF9BAB02D}"/>
              </c:ext>
            </c:extLst>
          </c:dPt>
          <c:dLbls>
            <c:dLbl>
              <c:idx val="0"/>
              <c:layout>
                <c:manualLayout>
                  <c:x val="-0.12730741921119801"/>
                  <c:y val="3.02927238261883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0D-42D8-8FA7-DCCDF9BAB02D}"/>
                </c:ext>
              </c:extLst>
            </c:dLbl>
            <c:dLbl>
              <c:idx val="1"/>
              <c:layout>
                <c:manualLayout>
                  <c:x val="0.12563830729995765"/>
                  <c:y val="-6.3902376786235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0D-42D8-8FA7-DCCDF9BAB0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'Q1'!$D$4:$D$5</c:f>
              <c:strCache>
                <c:ptCount val="2"/>
                <c:pt idx="0">
                  <c:v>Étudiant(e) sage-femme en 5e année (n=61)</c:v>
                </c:pt>
                <c:pt idx="1">
                  <c:v>Sage-femme diplômé(e) (n=90)</c:v>
                </c:pt>
              </c:strCache>
            </c:strRef>
          </c:cat>
          <c:val>
            <c:numRef>
              <c:f>'Q1'!$E$4:$E$5</c:f>
              <c:numCache>
                <c:formatCode>0.0%</c:formatCode>
                <c:ptCount val="2"/>
                <c:pt idx="0">
                  <c:v>0.40397350993377484</c:v>
                </c:pt>
                <c:pt idx="1">
                  <c:v>0.59602649006622521</c:v>
                </c:pt>
              </c:numCache>
            </c:numRef>
          </c:val>
          <c:extLst>
            <c:ext xmlns:c16="http://schemas.microsoft.com/office/drawing/2014/chart" uri="{C3380CC4-5D6E-409C-BE32-E72D297353CC}">
              <c16:uniqueId val="{00000000-720D-42D8-8FA7-DCCDF9BAB0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Si vous avez coché sage-femme diplômé(e), depuis combien de temps exercez-vous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'Q2'!$E$3</c:f>
              <c:strCache>
                <c:ptCount val="1"/>
                <c:pt idx="0">
                  <c:v>Q2 : Si vous avez coché sage-femme diplômé(e), depuis combien de temps exercez-vous ?</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495B-4EBE-8784-3078167FBEDA}"/>
              </c:ext>
            </c:extLst>
          </c:dPt>
          <c:dPt>
            <c:idx val="1"/>
            <c:bubble3D val="0"/>
            <c:spPr>
              <a:solidFill>
                <a:srgbClr val="33CC33"/>
              </a:solidFill>
              <a:ln w="19050">
                <a:solidFill>
                  <a:schemeClr val="lt1"/>
                </a:solidFill>
              </a:ln>
              <a:effectLst/>
            </c:spPr>
            <c:extLst>
              <c:ext xmlns:c16="http://schemas.microsoft.com/office/drawing/2014/chart" uri="{C3380CC4-5D6E-409C-BE32-E72D297353CC}">
                <c16:uniqueId val="{00000003-495B-4EBE-8784-3078167FBEDA}"/>
              </c:ext>
            </c:extLst>
          </c:dPt>
          <c:dPt>
            <c:idx val="2"/>
            <c:bubble3D val="0"/>
            <c:spPr>
              <a:solidFill>
                <a:srgbClr val="FF9966"/>
              </a:solidFill>
              <a:ln w="19050">
                <a:solidFill>
                  <a:schemeClr val="lt1"/>
                </a:solidFill>
              </a:ln>
              <a:effectLst/>
            </c:spPr>
            <c:extLst>
              <c:ext xmlns:c16="http://schemas.microsoft.com/office/drawing/2014/chart" uri="{C3380CC4-5D6E-409C-BE32-E72D297353CC}">
                <c16:uniqueId val="{00000005-495B-4EBE-8784-3078167FBEDA}"/>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495B-4EBE-8784-3078167FBED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'Q2'!$D$4:$D$7</c:f>
              <c:strCache>
                <c:ptCount val="4"/>
                <c:pt idx="0">
                  <c:v>Moins de 2 ans (n=9)</c:v>
                </c:pt>
                <c:pt idx="1">
                  <c:v>2 à 5 ans (n=7)</c:v>
                </c:pt>
                <c:pt idx="2">
                  <c:v>5 à 10 ans (n=15)</c:v>
                </c:pt>
                <c:pt idx="3">
                  <c:v>Plus de 10 ans (n=59)</c:v>
                </c:pt>
              </c:strCache>
            </c:strRef>
          </c:cat>
          <c:val>
            <c:numRef>
              <c:f>'Q2'!$E$4:$E$7</c:f>
              <c:numCache>
                <c:formatCode>0.0%</c:formatCode>
                <c:ptCount val="4"/>
                <c:pt idx="0">
                  <c:v>0.1</c:v>
                </c:pt>
                <c:pt idx="1">
                  <c:v>7.7777777777777779E-2</c:v>
                </c:pt>
                <c:pt idx="2">
                  <c:v>0.16666666666666666</c:v>
                </c:pt>
                <c:pt idx="3">
                  <c:v>0.65555555555555556</c:v>
                </c:pt>
              </c:numCache>
            </c:numRef>
          </c:val>
          <c:extLst>
            <c:ext xmlns:c16="http://schemas.microsoft.com/office/drawing/2014/chart" uri="{C3380CC4-5D6E-409C-BE32-E72D297353CC}">
              <c16:uniqueId val="{00000000-3775-4432-803A-9D456BD15D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Dans quelle structure exercez-vous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'Q3'!$E$3</c:f>
              <c:strCache>
                <c:ptCount val="1"/>
                <c:pt idx="0">
                  <c:v>Dans quelle structure exercez-vous ?</c:v>
                </c:pt>
              </c:strCache>
            </c:strRef>
          </c:tx>
          <c:dPt>
            <c:idx val="0"/>
            <c:bubble3D val="0"/>
            <c:spPr>
              <a:solidFill>
                <a:srgbClr val="33CC33"/>
              </a:solidFill>
              <a:ln w="19050">
                <a:solidFill>
                  <a:schemeClr val="lt1"/>
                </a:solidFill>
              </a:ln>
              <a:effectLst/>
            </c:spPr>
            <c:extLst>
              <c:ext xmlns:c16="http://schemas.microsoft.com/office/drawing/2014/chart" uri="{C3380CC4-5D6E-409C-BE32-E72D297353CC}">
                <c16:uniqueId val="{00000001-8C71-4CBF-ADC6-50894CF10BB7}"/>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8C71-4CBF-ADC6-50894CF10BB7}"/>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8C71-4CBF-ADC6-50894CF10BB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'Q3'!$D$4:$D$6</c:f>
              <c:strCache>
                <c:ptCount val="3"/>
                <c:pt idx="0">
                  <c:v>Mixte (n=3)</c:v>
                </c:pt>
                <c:pt idx="1">
                  <c:v>Hospitalier (n=57)</c:v>
                </c:pt>
                <c:pt idx="2">
                  <c:v>Libéral (n=30)</c:v>
                </c:pt>
              </c:strCache>
            </c:strRef>
          </c:cat>
          <c:val>
            <c:numRef>
              <c:f>'Q3'!$E$4:$E$6</c:f>
              <c:numCache>
                <c:formatCode>0.0%</c:formatCode>
                <c:ptCount val="3"/>
                <c:pt idx="0">
                  <c:v>3.3333333333333333E-2</c:v>
                </c:pt>
                <c:pt idx="1">
                  <c:v>0.6333333333333333</c:v>
                </c:pt>
                <c:pt idx="2">
                  <c:v>0.33333333333333331</c:v>
                </c:pt>
              </c:numCache>
            </c:numRef>
          </c:val>
          <c:extLst>
            <c:ext xmlns:c16="http://schemas.microsoft.com/office/drawing/2014/chart" uri="{C3380CC4-5D6E-409C-BE32-E72D297353CC}">
              <c16:uniqueId val="{00000000-0B83-4E4C-903E-2CB4B2984F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[GRAPHIQUE.xlsx]Q4!Tableau croisé dynamique9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Sur une échelle de 1 à 5, comment évalueriez-vous votre niveau de connaissance de l’ostéopathie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'Q4'!$A$5:$A$10</c:f>
              <c:strCache>
                <c:ptCount val="5"/>
                <c:pt idx="0">
                  <c:v>1 = Aucune connaissance (n=22)</c:v>
                </c:pt>
                <c:pt idx="1">
                  <c:v>2 = Peu de connaissances (n=53)</c:v>
                </c:pt>
                <c:pt idx="2">
                  <c:v>3 = Connaissances générales  (n=45)</c:v>
                </c:pt>
                <c:pt idx="3">
                  <c:v>4 = Bonnes connaissances (n=28)</c:v>
                </c:pt>
                <c:pt idx="4">
                  <c:v>5 = Très bonnes connaissances (n=3)</c:v>
                </c:pt>
              </c:strCache>
            </c:strRef>
          </c:cat>
          <c:val>
            <c:numRef>
              <c:f>'Q4'!$B$5:$B$10</c:f>
              <c:numCache>
                <c:formatCode>0.0%</c:formatCode>
                <c:ptCount val="5"/>
                <c:pt idx="0">
                  <c:v>0.14569536423841059</c:v>
                </c:pt>
                <c:pt idx="1">
                  <c:v>0.35099337748344372</c:v>
                </c:pt>
                <c:pt idx="2">
                  <c:v>0.29801324503311261</c:v>
                </c:pt>
                <c:pt idx="3">
                  <c:v>0.18543046357615894</c:v>
                </c:pt>
                <c:pt idx="4">
                  <c:v>1.9867549668874173E-2</c:v>
                </c:pt>
              </c:numCache>
            </c:numRef>
          </c:val>
          <c:extLst>
            <c:ext xmlns:c16="http://schemas.microsoft.com/office/drawing/2014/chart" uri="{C3380CC4-5D6E-409C-BE32-E72D297353CC}">
              <c16:uniqueId val="{00000000-E4BA-C249-B3E3-EB6618D3604C}"/>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[GRAPHIQUE.xlsx]Q5!Tableau croisé dynamique9</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fr-FR" sz="1200" b="0" i="0" u="none" strike="noStrike" kern="1200" spc="0" baseline="0">
                <a:solidFill>
                  <a:schemeClr val="tx1"/>
                </a:solidFill>
              </a:rPr>
              <a:t>Quelle est selon vous, la place de l’ostéopathie dans la prise en charge globale de la femme enceinte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'Q5'!$A$5:$A$10</c:f>
              <c:strCache>
                <c:ptCount val="5"/>
                <c:pt idx="0">
                  <c:v>1 = Sans intérêt  (n=3)</c:v>
                </c:pt>
                <c:pt idx="1">
                  <c:v>2 = Peu utile  (n=9)</c:v>
                </c:pt>
                <c:pt idx="2">
                  <c:v>3 = Utilité modérée   (n=41)</c:v>
                </c:pt>
                <c:pt idx="3">
                  <c:v>4 = Utile   (n=60)</c:v>
                </c:pt>
                <c:pt idx="4">
                  <c:v>5 = Très utile  (n=38)</c:v>
                </c:pt>
              </c:strCache>
            </c:strRef>
          </c:cat>
          <c:val>
            <c:numRef>
              <c:f>'Q5'!$B$5:$B$10</c:f>
              <c:numCache>
                <c:formatCode>0.0%</c:formatCode>
                <c:ptCount val="5"/>
                <c:pt idx="0">
                  <c:v>1.9867549668874173E-2</c:v>
                </c:pt>
                <c:pt idx="1">
                  <c:v>5.9602649006622516E-2</c:v>
                </c:pt>
                <c:pt idx="2">
                  <c:v>0.27152317880794702</c:v>
                </c:pt>
                <c:pt idx="3">
                  <c:v>0.39735099337748342</c:v>
                </c:pt>
                <c:pt idx="4">
                  <c:v>0.25165562913907286</c:v>
                </c:pt>
              </c:numCache>
            </c:numRef>
          </c:val>
          <c:extLst>
            <c:ext xmlns:c16="http://schemas.microsoft.com/office/drawing/2014/chart" uri="{C3380CC4-5D6E-409C-BE32-E72D297353CC}">
              <c16:uniqueId val="{00000000-37AE-4F08-BCA3-CC7F19E95072}"/>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[GRAPHIQUE.xlsx]Q6!Tableau croisé dynamique9</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Vous sentez-vous suffisamment informé(e) sur l’ostéopathie et ses indications durant la grossesse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'Q6'!$A$5:$A$10</c:f>
              <c:strCache>
                <c:ptCount val="5"/>
                <c:pt idx="0">
                  <c:v>1 = Non pas du tout  (n=26)</c:v>
                </c:pt>
                <c:pt idx="1">
                  <c:v>2 = Plutôt non (n=42)</c:v>
                </c:pt>
                <c:pt idx="2">
                  <c:v>3 = Moyennement  (n=37)</c:v>
                </c:pt>
                <c:pt idx="3">
                  <c:v>4 = Plutôt oui  (n=40)</c:v>
                </c:pt>
                <c:pt idx="4">
                  <c:v>5 = Oui tout à fait  (n=6)</c:v>
                </c:pt>
              </c:strCache>
            </c:strRef>
          </c:cat>
          <c:val>
            <c:numRef>
              <c:f>'Q6'!$B$5:$B$10</c:f>
              <c:numCache>
                <c:formatCode>0.0%</c:formatCode>
                <c:ptCount val="5"/>
                <c:pt idx="0">
                  <c:v>0.17218543046357615</c:v>
                </c:pt>
                <c:pt idx="1">
                  <c:v>0.27814569536423839</c:v>
                </c:pt>
                <c:pt idx="2">
                  <c:v>0.24503311258278146</c:v>
                </c:pt>
                <c:pt idx="3">
                  <c:v>0.26490066225165565</c:v>
                </c:pt>
                <c:pt idx="4">
                  <c:v>3.9735099337748346E-2</c:v>
                </c:pt>
              </c:numCache>
            </c:numRef>
          </c:val>
          <c:extLst>
            <c:ext xmlns:c16="http://schemas.microsoft.com/office/drawing/2014/chart" uri="{C3380CC4-5D6E-409C-BE32-E72D297353CC}">
              <c16:uniqueId val="{00000000-EE27-4FBF-AB91-5C93E74B7667}"/>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Avez-vous accès, au sein de votre structure, à un réseau d’ostéopathes vers lesquels orienter vos patientes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'Q7'!$E$3</c:f>
              <c:strCache>
                <c:ptCount val="1"/>
                <c:pt idx="0">
                  <c:v>Q7 : Avez-vous accès, au sein de votre structure, à un réseau d’ostéopathes vers lesquels orienter vos patientes ?</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BCD-4D6C-BB5A-DE459C2FA01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FBCD-4D6C-BB5A-DE459C2FA016}"/>
              </c:ext>
            </c:extLst>
          </c:dPt>
          <c:dPt>
            <c:idx val="2"/>
            <c:bubble3D val="0"/>
            <c:spPr>
              <a:solidFill>
                <a:srgbClr val="33CC33"/>
              </a:solidFill>
              <a:ln w="19050">
                <a:solidFill>
                  <a:schemeClr val="lt1"/>
                </a:solidFill>
              </a:ln>
              <a:effectLst/>
            </c:spPr>
            <c:extLst>
              <c:ext xmlns:c16="http://schemas.microsoft.com/office/drawing/2014/chart" uri="{C3380CC4-5D6E-409C-BE32-E72D297353CC}">
                <c16:uniqueId val="{00000001-8040-4D50-8B0B-D6DE03C64875}"/>
              </c:ext>
            </c:extLst>
          </c:dPt>
          <c:dLbls>
            <c:dLbl>
              <c:idx val="2"/>
              <c:layout>
                <c:manualLayout>
                  <c:x val="7.6405161053452825E-2"/>
                  <c:y val="0.12833953047535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40-4D50-8B0B-D6DE03C6487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'Q7'!$D$4:$D$6</c:f>
              <c:strCache>
                <c:ptCount val="3"/>
                <c:pt idx="0">
                  <c:v>Non (n=75)</c:v>
                </c:pt>
                <c:pt idx="1">
                  <c:v>Oui (n=55)</c:v>
                </c:pt>
                <c:pt idx="2">
                  <c:v>Sans avis (n=21)</c:v>
                </c:pt>
              </c:strCache>
            </c:strRef>
          </c:cat>
          <c:val>
            <c:numRef>
              <c:f>'Q7'!$E$4:$E$6</c:f>
              <c:numCache>
                <c:formatCode>0.0%</c:formatCode>
                <c:ptCount val="3"/>
                <c:pt idx="0">
                  <c:v>0.49668874172185429</c:v>
                </c:pt>
                <c:pt idx="1">
                  <c:v>0.36423841059602646</c:v>
                </c:pt>
                <c:pt idx="2">
                  <c:v>0.13907284768211919</c:v>
                </c:pt>
              </c:numCache>
            </c:numRef>
          </c:val>
          <c:extLst>
            <c:ext xmlns:c16="http://schemas.microsoft.com/office/drawing/2014/chart" uri="{C3380CC4-5D6E-409C-BE32-E72D297353CC}">
              <c16:uniqueId val="{00000000-8040-4D50-8B0B-D6DE03C648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La collaboration avec un(e) ostéopathe fait-elle partie intégrante de votre pratique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'Q8'!$E$3</c:f>
              <c:strCache>
                <c:ptCount val="1"/>
                <c:pt idx="0">
                  <c:v>Q8 : La collaboration avec un(e) ostéopathe fait-elle partie intégrante de votre pratique ?</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5CB-43FD-89EB-0416620D0C28}"/>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F5CB-43FD-89EB-0416620D0C28}"/>
              </c:ext>
            </c:extLst>
          </c:dPt>
          <c:dPt>
            <c:idx val="2"/>
            <c:bubble3D val="0"/>
            <c:spPr>
              <a:solidFill>
                <a:srgbClr val="FF9966"/>
              </a:solidFill>
              <a:ln w="19050">
                <a:solidFill>
                  <a:schemeClr val="lt1"/>
                </a:solidFill>
              </a:ln>
              <a:effectLst/>
            </c:spPr>
            <c:extLst>
              <c:ext xmlns:c16="http://schemas.microsoft.com/office/drawing/2014/chart" uri="{C3380CC4-5D6E-409C-BE32-E72D297353CC}">
                <c16:uniqueId val="{00000005-F5CB-43FD-89EB-0416620D0C28}"/>
              </c:ext>
            </c:extLst>
          </c:dPt>
          <c:dPt>
            <c:idx val="3"/>
            <c:bubble3D val="0"/>
            <c:spPr>
              <a:solidFill>
                <a:srgbClr val="33CC33"/>
              </a:solidFill>
              <a:ln w="19050">
                <a:solidFill>
                  <a:schemeClr val="lt1"/>
                </a:solidFill>
              </a:ln>
              <a:effectLst/>
            </c:spPr>
            <c:extLst>
              <c:ext xmlns:c16="http://schemas.microsoft.com/office/drawing/2014/chart" uri="{C3380CC4-5D6E-409C-BE32-E72D297353CC}">
                <c16:uniqueId val="{00000007-F5CB-43FD-89EB-0416620D0C2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'Q8'!$D$4:$D$7</c:f>
              <c:strCache>
                <c:ptCount val="4"/>
                <c:pt idx="0">
                  <c:v>Non (n=44)</c:v>
                </c:pt>
                <c:pt idx="1">
                  <c:v>Oui, occasionnellement (&gt; ou = à 1 fois par mois) (n=44)</c:v>
                </c:pt>
                <c:pt idx="2">
                  <c:v>Oui, rarement (&lt; à 1 fois par mois) (n=27)</c:v>
                </c:pt>
                <c:pt idx="3">
                  <c:v>Oui, régulièrement (&gt; ou = à 1 fois par semaine) (n=36)</c:v>
                </c:pt>
              </c:strCache>
            </c:strRef>
          </c:cat>
          <c:val>
            <c:numRef>
              <c:f>'Q8'!$E$4:$E$7</c:f>
              <c:numCache>
                <c:formatCode>0.0%</c:formatCode>
                <c:ptCount val="4"/>
                <c:pt idx="0">
                  <c:v>0.29139072847682118</c:v>
                </c:pt>
                <c:pt idx="1">
                  <c:v>0.29139072847682118</c:v>
                </c:pt>
                <c:pt idx="2">
                  <c:v>0.17880794701986755</c:v>
                </c:pt>
                <c:pt idx="3">
                  <c:v>0.23841059602649006</c:v>
                </c:pt>
              </c:numCache>
            </c:numRef>
          </c:val>
          <c:extLst>
            <c:ext xmlns:c16="http://schemas.microsoft.com/office/drawing/2014/chart" uri="{C3380CC4-5D6E-409C-BE32-E72D297353CC}">
              <c16:uniqueId val="{00000000-90FB-4E0F-A979-6D76C8A023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[GRAPHIQUE.xlsx]Q9!Tableau croisé dynamique9</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Si oui, dans quel(s) cadre(s)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'Q9'!$A$5:$A$14</c:f>
              <c:strCache>
                <c:ptCount val="9"/>
                <c:pt idx="0">
                  <c:v>Allaitement (n=20)</c:v>
                </c:pt>
                <c:pt idx="1">
                  <c:v>Douleurs lombaires et/ou pelviennes  (n=97)</c:v>
                </c:pt>
                <c:pt idx="2">
                  <c:v>Fertilité (n=11)</c:v>
                </c:pt>
                <c:pt idx="3">
                  <c:v>Nouveau-né (n=4)</c:v>
                </c:pt>
                <c:pt idx="4">
                  <c:v>Post-partum (n=85)</c:v>
                </c:pt>
                <c:pt idx="5">
                  <c:v>Préparation à l'accouchement  (n=21)</c:v>
                </c:pt>
                <c:pt idx="6">
                  <c:v>Sphère émotionnelle  (n=10)</c:v>
                </c:pt>
                <c:pt idx="7">
                  <c:v>Suivi prénatal de grossesse (n=51)</c:v>
                </c:pt>
                <c:pt idx="8">
                  <c:v>Troubles digestifs associés (n=21)</c:v>
                </c:pt>
              </c:strCache>
            </c:strRef>
          </c:cat>
          <c:val>
            <c:numRef>
              <c:f>'Q9'!$B$5:$B$14</c:f>
              <c:numCache>
                <c:formatCode>0.0%</c:formatCode>
                <c:ptCount val="9"/>
                <c:pt idx="0">
                  <c:v>6.25E-2</c:v>
                </c:pt>
                <c:pt idx="1">
                  <c:v>0.30312499999999998</c:v>
                </c:pt>
                <c:pt idx="2">
                  <c:v>3.4375000000000003E-2</c:v>
                </c:pt>
                <c:pt idx="3">
                  <c:v>1.2500000000000001E-2</c:v>
                </c:pt>
                <c:pt idx="4">
                  <c:v>0.265625</c:v>
                </c:pt>
                <c:pt idx="5">
                  <c:v>6.5625000000000003E-2</c:v>
                </c:pt>
                <c:pt idx="6">
                  <c:v>3.125E-2</c:v>
                </c:pt>
                <c:pt idx="7">
                  <c:v>0.15937499999999999</c:v>
                </c:pt>
                <c:pt idx="8">
                  <c:v>6.5625000000000003E-2</c:v>
                </c:pt>
              </c:numCache>
            </c:numRef>
          </c:val>
          <c:extLst>
            <c:ext xmlns:c16="http://schemas.microsoft.com/office/drawing/2014/chart" uri="{C3380CC4-5D6E-409C-BE32-E72D297353CC}">
              <c16:uniqueId val="{00000000-B34F-47F8-8900-9930C104C596}"/>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[GRAPHIQUE.xlsx]Q10!Tableau croisé dynamique9</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Comment estimez-vous vos connaissances concernant le syndrome de Lacomme (douleurs ligamentaires lombo-pelviennes de grossesse)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'Q10'!$B$3:$B$4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'Q10'!$A$5:$A$10</c:f>
              <c:strCache>
                <c:ptCount val="5"/>
                <c:pt idx="0">
                  <c:v>1 = Aucunes connaissances (n=5)</c:v>
                </c:pt>
                <c:pt idx="1">
                  <c:v>2 = Peu de connaissances (n=33)</c:v>
                </c:pt>
                <c:pt idx="2">
                  <c:v>3 = Connaissances générales  (n=52)</c:v>
                </c:pt>
                <c:pt idx="3">
                  <c:v>4 = Bonnes connaissances (n=50)</c:v>
                </c:pt>
                <c:pt idx="4">
                  <c:v>5 = Très bonnes connaissances (n=11)</c:v>
                </c:pt>
              </c:strCache>
            </c:strRef>
          </c:cat>
          <c:val>
            <c:numRef>
              <c:f>'Q10'!$B$5:$B$10</c:f>
              <c:numCache>
                <c:formatCode>0.0%</c:formatCode>
                <c:ptCount val="5"/>
                <c:pt idx="0">
                  <c:v>3.3112582781456956E-2</c:v>
                </c:pt>
                <c:pt idx="1">
                  <c:v>0.2185430463576159</c:v>
                </c:pt>
                <c:pt idx="2">
                  <c:v>0.3443708609271523</c:v>
                </c:pt>
                <c:pt idx="3">
                  <c:v>0.33112582781456956</c:v>
                </c:pt>
                <c:pt idx="4">
                  <c:v>7.2847682119205295E-2</c:v>
                </c:pt>
              </c:numCache>
            </c:numRef>
          </c:val>
          <c:extLst>
            <c:ext xmlns:c16="http://schemas.microsoft.com/office/drawing/2014/chart" uri="{C3380CC4-5D6E-409C-BE32-E72D297353CC}">
              <c16:uniqueId val="{00000000-2F50-4A73-8FBE-2450B0A11750}"/>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[GRAPHIQUE.xlsx]Q11!Tableau croisé dynamique9</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cap="none" spc="0" baseline="0">
                <a:solidFill>
                  <a:schemeClr val="tx1"/>
                </a:solidFill>
                <a:uFillTx/>
                <a:latin typeface="Calibri"/>
              </a:rPr>
              <a:t>Comment identifiez-vous ce syndrome dans votre pratique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'Q11'!$B$3:$B$4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'Q11'!$A$5:$A$10</c:f>
              <c:strCache>
                <c:ptCount val="5"/>
                <c:pt idx="0">
                  <c:v> Recours aux examens complémentaires (n=2)</c:v>
                </c:pt>
                <c:pt idx="1">
                  <c:v>Démarche de la patiente  (n=1)</c:v>
                </c:pt>
                <c:pt idx="2">
                  <c:v>En excluant d’autres causes possibles de douleurs pelviennes pendant la grossesse (n=105)</c:v>
                </c:pt>
                <c:pt idx="3">
                  <c:v>Examen clinique  (n=89)</c:v>
                </c:pt>
                <c:pt idx="4">
                  <c:v>Interrogatoire  (n=143)</c:v>
                </c:pt>
              </c:strCache>
            </c:strRef>
          </c:cat>
          <c:val>
            <c:numRef>
              <c:f>'Q11'!$B$5:$B$10</c:f>
              <c:numCache>
                <c:formatCode>0.0%</c:formatCode>
                <c:ptCount val="5"/>
                <c:pt idx="0">
                  <c:v>5.8823529411764705E-3</c:v>
                </c:pt>
                <c:pt idx="1">
                  <c:v>2.9411764705882353E-3</c:v>
                </c:pt>
                <c:pt idx="2">
                  <c:v>0.30882352941176472</c:v>
                </c:pt>
                <c:pt idx="3">
                  <c:v>0.26176470588235295</c:v>
                </c:pt>
                <c:pt idx="4">
                  <c:v>0.42058823529411765</c:v>
                </c:pt>
              </c:numCache>
            </c:numRef>
          </c:val>
          <c:extLst>
            <c:ext xmlns:c16="http://schemas.microsoft.com/office/drawing/2014/chart" uri="{C3380CC4-5D6E-409C-BE32-E72D297353CC}">
              <c16:uniqueId val="{00000000-C9AB-4899-8FB2-99CA0555F109}"/>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A quelle fréquence rencontrez-vous des patientes présentant un syndrome de Lacomme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'Q12'!$E$3</c:f>
              <c:strCache>
                <c:ptCount val="1"/>
                <c:pt idx="0">
                  <c:v>Q12 : A quelle fréquence rencontrez-vous des patientes présentant un syndrome de Lacomme ?</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5836-4B5B-8F8A-B5E37EC3AB8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5836-4B5B-8F8A-B5E37EC3AB88}"/>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5836-4B5B-8F8A-B5E37EC3AB88}"/>
              </c:ext>
            </c:extLst>
          </c:dPt>
          <c:dPt>
            <c:idx val="3"/>
            <c:bubble3D val="0"/>
            <c:spPr>
              <a:solidFill>
                <a:srgbClr val="33CC33"/>
              </a:solidFill>
              <a:ln w="19050">
                <a:solidFill>
                  <a:schemeClr val="lt1"/>
                </a:solidFill>
              </a:ln>
              <a:effectLst/>
            </c:spPr>
            <c:extLst>
              <c:ext xmlns:c16="http://schemas.microsoft.com/office/drawing/2014/chart" uri="{C3380CC4-5D6E-409C-BE32-E72D297353CC}">
                <c16:uniqueId val="{00000007-5836-4B5B-8F8A-B5E37EC3AB88}"/>
              </c:ext>
            </c:extLst>
          </c:dPt>
          <c:dPt>
            <c:idx val="4"/>
            <c:bubble3D val="0"/>
            <c:spPr>
              <a:solidFill>
                <a:srgbClr val="FF9966"/>
              </a:solidFill>
              <a:ln w="19050">
                <a:solidFill>
                  <a:schemeClr val="lt1"/>
                </a:solidFill>
              </a:ln>
              <a:effectLst/>
            </c:spPr>
            <c:extLst>
              <c:ext xmlns:c16="http://schemas.microsoft.com/office/drawing/2014/chart" uri="{C3380CC4-5D6E-409C-BE32-E72D297353CC}">
                <c16:uniqueId val="{00000009-5836-4B5B-8F8A-B5E37EC3AB8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'Q12'!$D$4:$D$8</c:f>
              <c:strCache>
                <c:ptCount val="5"/>
                <c:pt idx="0">
                  <c:v>A chaque suivi (n=1)</c:v>
                </c:pt>
                <c:pt idx="1">
                  <c:v>Fréquemment (&gt; ou = à 1 fois par semaine) (n=67)</c:v>
                </c:pt>
                <c:pt idx="2">
                  <c:v>Occasionnellement (&gt; ou = à 1 fois par mois) (n=55)</c:v>
                </c:pt>
                <c:pt idx="3">
                  <c:v>Rarement (&gt; ou = à 1 fois tous les 3 mois) (n=23)</c:v>
                </c:pt>
                <c:pt idx="4">
                  <c:v>Jamais (n=3)</c:v>
                </c:pt>
              </c:strCache>
            </c:strRef>
          </c:cat>
          <c:val>
            <c:numRef>
              <c:f>'Q12'!$E$4:$E$8</c:f>
              <c:numCache>
                <c:formatCode>0.0%</c:formatCode>
                <c:ptCount val="5"/>
                <c:pt idx="0">
                  <c:v>6.7114093959731542E-3</c:v>
                </c:pt>
                <c:pt idx="1">
                  <c:v>0.44966442953020136</c:v>
                </c:pt>
                <c:pt idx="2">
                  <c:v>0.36912751677852351</c:v>
                </c:pt>
                <c:pt idx="3">
                  <c:v>0.15436241610738255</c:v>
                </c:pt>
                <c:pt idx="4">
                  <c:v>2.0134228187919462E-2</c:v>
                </c:pt>
              </c:numCache>
            </c:numRef>
          </c:val>
          <c:extLst>
            <c:ext xmlns:c16="http://schemas.microsoft.com/office/drawing/2014/chart" uri="{C3380CC4-5D6E-409C-BE32-E72D297353CC}">
              <c16:uniqueId val="{00000000-76CC-4B9E-8AFC-6B7C2724C3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Estimez-vous qu’il y a un retard diagnostic à la prise en charge de ce syndrome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'Q13'!$E$3</c:f>
              <c:strCache>
                <c:ptCount val="1"/>
                <c:pt idx="0">
                  <c:v>Q13 : Estimez-vous qu’il y a un retard diagnostic à la prise en charge de ce syndrome ?</c:v>
                </c:pt>
              </c:strCache>
            </c:strRef>
          </c:tx>
          <c:dPt>
            <c:idx val="0"/>
            <c:bubble3D val="0"/>
            <c:spPr>
              <a:solidFill>
                <a:srgbClr val="33CC33"/>
              </a:solidFill>
              <a:ln w="19050">
                <a:solidFill>
                  <a:schemeClr val="lt1"/>
                </a:solidFill>
              </a:ln>
              <a:effectLst/>
            </c:spPr>
            <c:extLst>
              <c:ext xmlns:c16="http://schemas.microsoft.com/office/drawing/2014/chart" uri="{C3380CC4-5D6E-409C-BE32-E72D297353CC}">
                <c16:uniqueId val="{00000001-490D-493F-8515-869CF380A73A}"/>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490D-493F-8515-869CF380A73A}"/>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490D-493F-8515-869CF380A73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'Q13'!$D$4:$D$6</c:f>
              <c:strCache>
                <c:ptCount val="3"/>
                <c:pt idx="0">
                  <c:v>Non (n=33)</c:v>
                </c:pt>
                <c:pt idx="1">
                  <c:v>Oui (n=75)</c:v>
                </c:pt>
                <c:pt idx="2">
                  <c:v>Sans avis (n=43)</c:v>
                </c:pt>
              </c:strCache>
            </c:strRef>
          </c:cat>
          <c:val>
            <c:numRef>
              <c:f>'Q13'!$E$4:$E$6</c:f>
              <c:numCache>
                <c:formatCode>0.0%</c:formatCode>
                <c:ptCount val="3"/>
                <c:pt idx="0">
                  <c:v>0.2185430463576159</c:v>
                </c:pt>
                <c:pt idx="1">
                  <c:v>0.49668874172185429</c:v>
                </c:pt>
                <c:pt idx="2">
                  <c:v>0.28476821192052981</c:v>
                </c:pt>
              </c:numCache>
            </c:numRef>
          </c:val>
          <c:extLst>
            <c:ext xmlns:c16="http://schemas.microsoft.com/office/drawing/2014/chart" uri="{C3380CC4-5D6E-409C-BE32-E72D297353CC}">
              <c16:uniqueId val="{00000000-1B12-4CBB-8128-336CEDF06C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[GRAPHIQUE.xlsx]Q14!Tableau croisé dynamique9</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cap="none" spc="0" baseline="0">
                <a:solidFill>
                  <a:schemeClr val="tx1"/>
                </a:solidFill>
                <a:uFillTx/>
                <a:latin typeface="Calibri"/>
              </a:rPr>
              <a:t>Si oui, quelles sont les principales raisons de ce retard diagnostic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'Q14'!$B$3:$B$4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'Q14'!$A$5:$A$10</c:f>
              <c:strCache>
                <c:ptCount val="5"/>
                <c:pt idx="0">
                  <c:v>Absence de recommandations professionnelles claires (n=63)</c:v>
                </c:pt>
                <c:pt idx="1">
                  <c:v>Assimilation du syndrome à des lombalgies non spécifiques (n=54)</c:v>
                </c:pt>
                <c:pt idx="2">
                  <c:v>Difficultés d’accès aux thérapies non médicamenteuses (n=31)</c:v>
                </c:pt>
                <c:pt idx="3">
                  <c:v>Insuffisance d'examen clinique spécifique  (n=1)</c:v>
                </c:pt>
                <c:pt idx="4">
                  <c:v>Sous-estimation des plaintes des patientes (n=58)</c:v>
                </c:pt>
              </c:strCache>
            </c:strRef>
          </c:cat>
          <c:val>
            <c:numRef>
              <c:f>'Q14'!$B$5:$B$10</c:f>
              <c:numCache>
                <c:formatCode>0.0%</c:formatCode>
                <c:ptCount val="5"/>
                <c:pt idx="0">
                  <c:v>0.46666666666666667</c:v>
                </c:pt>
                <c:pt idx="1">
                  <c:v>0.2</c:v>
                </c:pt>
                <c:pt idx="2">
                  <c:v>0.11481481481481481</c:v>
                </c:pt>
                <c:pt idx="3">
                  <c:v>3.7037037037037038E-3</c:v>
                </c:pt>
                <c:pt idx="4">
                  <c:v>0.21481481481481482</c:v>
                </c:pt>
              </c:numCache>
            </c:numRef>
          </c:val>
          <c:extLst>
            <c:ext xmlns:c16="http://schemas.microsoft.com/office/drawing/2014/chart" uri="{C3380CC4-5D6E-409C-BE32-E72D297353CC}">
              <c16:uniqueId val="{00000000-9E3A-4B79-9606-4478DDBCFA28}"/>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[GRAPHIQUE.xlsx]Q15-1!Tableau croisé dynamique9</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Classez les différentes prises en charge dans l’ordre que vous recommanderiez pour une patiente atteinte du syndrome de Lacomme : [1er choix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F0"/>
          </a:solidFill>
          <a:ln>
            <a:noFill/>
          </a:ln>
          <a:effectLst/>
        </c:spPr>
      </c:pivotFmt>
      <c:pivotFmt>
        <c:idx val="23"/>
        <c:spPr>
          <a:solidFill>
            <a:srgbClr val="33CC33"/>
          </a:solidFill>
          <a:ln>
            <a:noFill/>
          </a:ln>
          <a:effectLst/>
        </c:spPr>
      </c:pivotFmt>
      <c:pivotFmt>
        <c:idx val="24"/>
        <c:spPr>
          <a:solidFill>
            <a:srgbClr val="FF9966"/>
          </a:solidFill>
          <a:ln>
            <a:noFill/>
          </a:ln>
          <a:effectLst/>
        </c:spPr>
      </c:pivotFmt>
      <c:pivotFmt>
        <c:idx val="25"/>
        <c:spPr>
          <a:solidFill>
            <a:srgbClr val="CC00CC"/>
          </a:solidFill>
          <a:ln>
            <a:noFill/>
          </a:ln>
          <a:effectLst/>
        </c:spPr>
      </c:pivotFmt>
      <c:pivotFmt>
        <c:idx val="26"/>
        <c:spPr>
          <a:solidFill>
            <a:srgbClr val="FFF467"/>
          </a:solidFill>
          <a:ln>
            <a:noFill/>
          </a:ln>
          <a:effectLst/>
        </c:spPr>
      </c:pivotFmt>
    </c:pivotFmts>
    <c:plotArea>
      <c:layout>
        <c:manualLayout>
          <c:layoutTarget val="inner"/>
          <c:xMode val="edge"/>
          <c:yMode val="edge"/>
          <c:x val="0.25158718036499617"/>
          <c:y val="0.22558606831882116"/>
          <c:w val="0.72352987649119116"/>
          <c:h val="0.6708271144606589"/>
        </c:manualLayout>
      </c:layout>
      <c:barChart>
        <c:barDir val="bar"/>
        <c:grouping val="clustered"/>
        <c:varyColors val="0"/>
        <c:ser>
          <c:idx val="0"/>
          <c:order val="0"/>
          <c:tx>
            <c:strRef>
              <c:f>'Q15-1'!$B$3:$B$4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3-5ACE-41AC-BCD1-030974195E7D}"/>
              </c:ext>
            </c:extLst>
          </c:dPt>
          <c:dPt>
            <c:idx val="2"/>
            <c:invertIfNegative val="0"/>
            <c:bubble3D val="0"/>
            <c:spPr>
              <a:solidFill>
                <a:srgbClr val="00B0F0"/>
              </a:solidFill>
              <a:ln>
                <a:noFill/>
              </a:ln>
              <a:effectLst/>
            </c:spPr>
            <c:extLst>
              <c:ext xmlns:c16="http://schemas.microsoft.com/office/drawing/2014/chart" uri="{C3380CC4-5D6E-409C-BE32-E72D297353CC}">
                <c16:uniqueId val="{00000000-5ACE-41AC-BCD1-030974195E7D}"/>
              </c:ext>
            </c:extLst>
          </c:dPt>
          <c:dPt>
            <c:idx val="3"/>
            <c:invertIfNegative val="0"/>
            <c:bubble3D val="0"/>
            <c:spPr>
              <a:solidFill>
                <a:srgbClr val="33CC33"/>
              </a:solidFill>
              <a:ln>
                <a:noFill/>
              </a:ln>
              <a:effectLst/>
            </c:spPr>
            <c:extLst>
              <c:ext xmlns:c16="http://schemas.microsoft.com/office/drawing/2014/chart" uri="{C3380CC4-5D6E-409C-BE32-E72D297353CC}">
                <c16:uniqueId val="{00000001-5ACE-41AC-BCD1-030974195E7D}"/>
              </c:ext>
            </c:extLst>
          </c:dPt>
          <c:dPt>
            <c:idx val="4"/>
            <c:invertIfNegative val="0"/>
            <c:bubble3D val="0"/>
            <c:spPr>
              <a:solidFill>
                <a:srgbClr val="FF9966"/>
              </a:solidFill>
              <a:ln>
                <a:noFill/>
              </a:ln>
              <a:effectLst/>
            </c:spPr>
            <c:extLst>
              <c:ext xmlns:c16="http://schemas.microsoft.com/office/drawing/2014/chart" uri="{C3380CC4-5D6E-409C-BE32-E72D297353CC}">
                <c16:uniqueId val="{00000002-5ACE-41AC-BCD1-030974195E7D}"/>
              </c:ext>
            </c:extLst>
          </c:dPt>
          <c:dPt>
            <c:idx val="5"/>
            <c:invertIfNegative val="0"/>
            <c:bubble3D val="0"/>
            <c:spPr>
              <a:solidFill>
                <a:srgbClr val="FFF467"/>
              </a:solidFill>
              <a:ln>
                <a:noFill/>
              </a:ln>
              <a:effectLst/>
            </c:spPr>
            <c:extLst>
              <c:ext xmlns:c16="http://schemas.microsoft.com/office/drawing/2014/chart" uri="{C3380CC4-5D6E-409C-BE32-E72D297353CC}">
                <c16:uniqueId val="{00000004-5ACE-41AC-BCD1-030974195E7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'Q15-1'!$A$5:$A$11</c:f>
              <c:strCache>
                <c:ptCount val="6"/>
                <c:pt idx="0">
                  <c:v>Ceinture de maintien/Support pelvien (n=24)</c:v>
                </c:pt>
                <c:pt idx="1">
                  <c:v>Conseils posturaux (n=40)</c:v>
                </c:pt>
                <c:pt idx="2">
                  <c:v>Exercices/Etirements (n=30)</c:v>
                </c:pt>
                <c:pt idx="3">
                  <c:v>Ostéopathie (n=19)</c:v>
                </c:pt>
                <c:pt idx="4">
                  <c:v>Repos/Limitation de mouvement (n=11)</c:v>
                </c:pt>
                <c:pt idx="5">
                  <c:v>Traitements médicamenteux (antalgiques/analgésiques) (n=6)</c:v>
                </c:pt>
              </c:strCache>
            </c:strRef>
          </c:cat>
          <c:val>
            <c:numRef>
              <c:f>'Q15-1'!$B$5:$B$11</c:f>
              <c:numCache>
                <c:formatCode>0.0%</c:formatCode>
                <c:ptCount val="6"/>
                <c:pt idx="0">
                  <c:v>0.18461538461538463</c:v>
                </c:pt>
                <c:pt idx="1">
                  <c:v>0.30769230769230771</c:v>
                </c:pt>
                <c:pt idx="2">
                  <c:v>0.23076923076923078</c:v>
                </c:pt>
                <c:pt idx="3">
                  <c:v>0.14615384615384616</c:v>
                </c:pt>
                <c:pt idx="4">
                  <c:v>8.461538461538462E-2</c:v>
                </c:pt>
                <c:pt idx="5">
                  <c:v>4.6153846153846156E-2</c:v>
                </c:pt>
              </c:numCache>
            </c:numRef>
          </c:val>
          <c:extLst>
            <c:ext xmlns:c16="http://schemas.microsoft.com/office/drawing/2014/chart" uri="{C3380CC4-5D6E-409C-BE32-E72D297353CC}">
              <c16:uniqueId val="{00000000-FB0B-4033-81B8-224086FB78AF}"/>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[GRAPHIQUE.xlsx]Q15-2!Tableau croisé dynamique9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chemeClr val="tx1"/>
                </a:solidFill>
              </a:rPr>
              <a:t>Classez les différentes prises en charge dans l’ordre que vous recommanderiez pour une patiente atteinte du syndrome de Lacomme : [2ème choix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467"/>
          </a:solidFill>
          <a:ln>
            <a:noFill/>
          </a:ln>
          <a:effectLst/>
        </c:spPr>
      </c:pivotFmt>
      <c:pivotFmt>
        <c:idx val="22"/>
        <c:spPr>
          <a:solidFill>
            <a:srgbClr val="FF9966"/>
          </a:solidFill>
          <a:ln>
            <a:noFill/>
          </a:ln>
          <a:effectLst/>
        </c:spPr>
      </c:pivotFmt>
      <c:pivotFmt>
        <c:idx val="23"/>
        <c:spPr>
          <a:solidFill>
            <a:srgbClr val="33CC33"/>
          </a:solidFill>
          <a:ln>
            <a:noFill/>
          </a:ln>
          <a:effectLst/>
        </c:spPr>
      </c:pivotFmt>
      <c:pivotFmt>
        <c:idx val="24"/>
        <c:spPr>
          <a:solidFill>
            <a:srgbClr val="00B0F0"/>
          </a:solidFill>
          <a:ln>
            <a:noFill/>
          </a:ln>
          <a:effectLst/>
        </c:spPr>
      </c:pivotFmt>
      <c:pivotFmt>
        <c:idx val="25"/>
        <c:spPr>
          <a:solidFill>
            <a:srgbClr val="CC00CC"/>
          </a:solidFill>
          <a:ln>
            <a:noFill/>
          </a:ln>
          <a:effectLst/>
        </c:spPr>
      </c:pivotFmt>
    </c:pivotFmts>
    <c:plotArea>
      <c:layout>
        <c:manualLayout>
          <c:layoutTarget val="inner"/>
          <c:xMode val="edge"/>
          <c:yMode val="edge"/>
          <c:x val="0.25158718036499617"/>
          <c:y val="0.22558606831882116"/>
          <c:w val="0.72352987649119116"/>
          <c:h val="0.6708271144606589"/>
        </c:manualLayout>
      </c:layout>
      <c:barChart>
        <c:barDir val="bar"/>
        <c:grouping val="clustered"/>
        <c:varyColors val="0"/>
        <c:ser>
          <c:idx val="0"/>
          <c:order val="0"/>
          <c:tx>
            <c:strRef>
              <c:f>'Q15-2'!$B$3:$B$4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4-C4CE-465E-AC62-3F3D35B0135D}"/>
              </c:ext>
            </c:extLst>
          </c:dPt>
          <c:dPt>
            <c:idx val="2"/>
            <c:invertIfNegative val="0"/>
            <c:bubble3D val="0"/>
            <c:spPr>
              <a:solidFill>
                <a:srgbClr val="00B0F0"/>
              </a:solidFill>
              <a:ln>
                <a:noFill/>
              </a:ln>
              <a:effectLst/>
            </c:spPr>
            <c:extLst>
              <c:ext xmlns:c16="http://schemas.microsoft.com/office/drawing/2014/chart" uri="{C3380CC4-5D6E-409C-BE32-E72D297353CC}">
                <c16:uniqueId val="{00000003-C4CE-465E-AC62-3F3D35B0135D}"/>
              </c:ext>
            </c:extLst>
          </c:dPt>
          <c:dPt>
            <c:idx val="3"/>
            <c:invertIfNegative val="0"/>
            <c:bubble3D val="0"/>
            <c:spPr>
              <a:solidFill>
                <a:srgbClr val="33CC33"/>
              </a:solidFill>
              <a:ln>
                <a:noFill/>
              </a:ln>
              <a:effectLst/>
            </c:spPr>
            <c:extLst>
              <c:ext xmlns:c16="http://schemas.microsoft.com/office/drawing/2014/chart" uri="{C3380CC4-5D6E-409C-BE32-E72D297353CC}">
                <c16:uniqueId val="{00000002-C4CE-465E-AC62-3F3D35B0135D}"/>
              </c:ext>
            </c:extLst>
          </c:dPt>
          <c:dPt>
            <c:idx val="4"/>
            <c:invertIfNegative val="0"/>
            <c:bubble3D val="0"/>
            <c:spPr>
              <a:solidFill>
                <a:srgbClr val="FF9966"/>
              </a:solidFill>
              <a:ln>
                <a:noFill/>
              </a:ln>
              <a:effectLst/>
            </c:spPr>
            <c:extLst>
              <c:ext xmlns:c16="http://schemas.microsoft.com/office/drawing/2014/chart" uri="{C3380CC4-5D6E-409C-BE32-E72D297353CC}">
                <c16:uniqueId val="{00000001-C4CE-465E-AC62-3F3D35B0135D}"/>
              </c:ext>
            </c:extLst>
          </c:dPt>
          <c:dPt>
            <c:idx val="5"/>
            <c:invertIfNegative val="0"/>
            <c:bubble3D val="0"/>
            <c:spPr>
              <a:solidFill>
                <a:srgbClr val="FFF467"/>
              </a:solidFill>
              <a:ln>
                <a:noFill/>
              </a:ln>
              <a:effectLst/>
            </c:spPr>
            <c:extLst>
              <c:ext xmlns:c16="http://schemas.microsoft.com/office/drawing/2014/chart" uri="{C3380CC4-5D6E-409C-BE32-E72D297353CC}">
                <c16:uniqueId val="{00000000-C4CE-465E-AC62-3F3D35B013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'Q15-2'!$A$5:$A$11</c:f>
              <c:strCache>
                <c:ptCount val="6"/>
                <c:pt idx="0">
                  <c:v>Ceinture de maintien/Support pelvien (n=23)</c:v>
                </c:pt>
                <c:pt idx="1">
                  <c:v>Conseils posturaux (n=23)</c:v>
                </c:pt>
                <c:pt idx="2">
                  <c:v>Exercices/Etirements (n=36)</c:v>
                </c:pt>
                <c:pt idx="3">
                  <c:v>Ostéopathie (n=33)</c:v>
                </c:pt>
                <c:pt idx="4">
                  <c:v>Repos/Limitation de mouvement (n=2)</c:v>
                </c:pt>
                <c:pt idx="5">
                  <c:v>Traitements médicamenteux (antalgiques/analgésiques) (n=13)</c:v>
                </c:pt>
              </c:strCache>
            </c:strRef>
          </c:cat>
          <c:val>
            <c:numRef>
              <c:f>'Q15-2'!$B$5:$B$11</c:f>
              <c:numCache>
                <c:formatCode>0.0%</c:formatCode>
                <c:ptCount val="6"/>
                <c:pt idx="0">
                  <c:v>0.17692307692307693</c:v>
                </c:pt>
                <c:pt idx="1">
                  <c:v>0.17692307692307693</c:v>
                </c:pt>
                <c:pt idx="2">
                  <c:v>0.27692307692307694</c:v>
                </c:pt>
                <c:pt idx="3">
                  <c:v>0.25384615384615383</c:v>
                </c:pt>
                <c:pt idx="4">
                  <c:v>1.5384615384615385E-2</c:v>
                </c:pt>
                <c:pt idx="5">
                  <c:v>0.1</c:v>
                </c:pt>
              </c:numCache>
            </c:numRef>
          </c:val>
          <c:extLst>
            <c:ext xmlns:c16="http://schemas.microsoft.com/office/drawing/2014/chart" uri="{C3380CC4-5D6E-409C-BE32-E72D297353CC}">
              <c16:uniqueId val="{00000000-EA53-49CE-9E3A-E5DEFB848ECE}"/>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[GRAPHIQUE.xlsx]Q15-3!Tableau croisé dynamique9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rPr>
              <a:t>Classez les différentes prises en charge dans l’ordre que vous recommanderiez pour une patiente atteinte du syndrome de Lacomme : </a:t>
            </a:r>
            <a:r>
              <a:rPr lang="en-US" sz="1100" b="0" i="0" u="none" strike="noStrike" kern="1200" spc="0" baseline="0">
                <a:solidFill>
                  <a:schemeClr val="tx1"/>
                </a:solidFill>
              </a:rPr>
              <a:t>[3ème choix ]</a:t>
            </a:r>
            <a:endParaRPr lang="en-US" sz="1400" b="0"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F467"/>
          </a:solidFill>
          <a:ln>
            <a:noFill/>
          </a:ln>
          <a:effectLst/>
        </c:spPr>
      </c:pivotFmt>
      <c:pivotFmt>
        <c:idx val="21"/>
        <c:spPr>
          <a:solidFill>
            <a:srgbClr val="FF9966"/>
          </a:solidFill>
          <a:ln>
            <a:noFill/>
          </a:ln>
          <a:effectLst/>
        </c:spPr>
      </c:pivotFmt>
      <c:pivotFmt>
        <c:idx val="22"/>
        <c:spPr>
          <a:solidFill>
            <a:srgbClr val="33CC33"/>
          </a:solidFill>
          <a:ln>
            <a:noFill/>
          </a:ln>
          <a:effectLst/>
        </c:spPr>
      </c:pivotFmt>
      <c:pivotFmt>
        <c:idx val="23"/>
        <c:spPr>
          <a:solidFill>
            <a:srgbClr val="CC00CC"/>
          </a:solidFill>
          <a:ln>
            <a:noFill/>
          </a:ln>
          <a:effectLst/>
        </c:spPr>
      </c:pivotFmt>
      <c:pivotFmt>
        <c:idx val="24"/>
        <c:spPr>
          <a:solidFill>
            <a:srgbClr val="00B0F0"/>
          </a:solidFill>
          <a:ln>
            <a:noFill/>
          </a:ln>
          <a:effectLst/>
        </c:spPr>
      </c:pivotFmt>
    </c:pivotFmts>
    <c:plotArea>
      <c:layout/>
      <c:barChart>
        <c:barDir val="bar"/>
        <c:grouping val="clustered"/>
        <c:varyColors val="0"/>
        <c:ser>
          <c:idx val="0"/>
          <c:order val="0"/>
          <c:tx>
            <c:strRef>
              <c:f>'Q15-3'!$B$3:$B$4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3-D2F5-422C-8652-89191D207119}"/>
              </c:ext>
            </c:extLst>
          </c:dPt>
          <c:dPt>
            <c:idx val="2"/>
            <c:invertIfNegative val="0"/>
            <c:bubble3D val="0"/>
            <c:spPr>
              <a:solidFill>
                <a:srgbClr val="00B0F0"/>
              </a:solidFill>
              <a:ln>
                <a:noFill/>
              </a:ln>
              <a:effectLst/>
            </c:spPr>
            <c:extLst>
              <c:ext xmlns:c16="http://schemas.microsoft.com/office/drawing/2014/chart" uri="{C3380CC4-5D6E-409C-BE32-E72D297353CC}">
                <c16:uniqueId val="{00000004-D2F5-422C-8652-89191D207119}"/>
              </c:ext>
            </c:extLst>
          </c:dPt>
          <c:dPt>
            <c:idx val="3"/>
            <c:invertIfNegative val="0"/>
            <c:bubble3D val="0"/>
            <c:spPr>
              <a:solidFill>
                <a:srgbClr val="33CC33"/>
              </a:solidFill>
              <a:ln>
                <a:noFill/>
              </a:ln>
              <a:effectLst/>
            </c:spPr>
            <c:extLst>
              <c:ext xmlns:c16="http://schemas.microsoft.com/office/drawing/2014/chart" uri="{C3380CC4-5D6E-409C-BE32-E72D297353CC}">
                <c16:uniqueId val="{00000002-D2F5-422C-8652-89191D207119}"/>
              </c:ext>
            </c:extLst>
          </c:dPt>
          <c:dPt>
            <c:idx val="4"/>
            <c:invertIfNegative val="0"/>
            <c:bubble3D val="0"/>
            <c:spPr>
              <a:solidFill>
                <a:srgbClr val="FF9966"/>
              </a:solidFill>
              <a:ln>
                <a:noFill/>
              </a:ln>
              <a:effectLst/>
            </c:spPr>
            <c:extLst>
              <c:ext xmlns:c16="http://schemas.microsoft.com/office/drawing/2014/chart" uri="{C3380CC4-5D6E-409C-BE32-E72D297353CC}">
                <c16:uniqueId val="{00000001-D2F5-422C-8652-89191D207119}"/>
              </c:ext>
            </c:extLst>
          </c:dPt>
          <c:dPt>
            <c:idx val="5"/>
            <c:invertIfNegative val="0"/>
            <c:bubble3D val="0"/>
            <c:spPr>
              <a:solidFill>
                <a:srgbClr val="FFF467"/>
              </a:solidFill>
              <a:ln>
                <a:noFill/>
              </a:ln>
              <a:effectLst/>
            </c:spPr>
            <c:extLst>
              <c:ext xmlns:c16="http://schemas.microsoft.com/office/drawing/2014/chart" uri="{C3380CC4-5D6E-409C-BE32-E72D297353CC}">
                <c16:uniqueId val="{00000000-D2F5-422C-8652-89191D207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'Q15-3'!$A$5:$A$11</c:f>
              <c:strCache>
                <c:ptCount val="6"/>
                <c:pt idx="0">
                  <c:v>Ceinture de maintien/Support pelvien (n=26)</c:v>
                </c:pt>
                <c:pt idx="1">
                  <c:v>Conseils posturaux (n=27)</c:v>
                </c:pt>
                <c:pt idx="2">
                  <c:v>Exercices/Etirements (n=30)</c:v>
                </c:pt>
                <c:pt idx="3">
                  <c:v>Ostéopathie (n=32)</c:v>
                </c:pt>
                <c:pt idx="4">
                  <c:v>Repos/Limitation de mouvement (n=6)</c:v>
                </c:pt>
                <c:pt idx="5">
                  <c:v>Traitements médicamenteux (antalgiques/analgésiques) (n=9)</c:v>
                </c:pt>
              </c:strCache>
            </c:strRef>
          </c:cat>
          <c:val>
            <c:numRef>
              <c:f>'Q15-3'!$B$5:$B$11</c:f>
              <c:numCache>
                <c:formatCode>0.0%</c:formatCode>
                <c:ptCount val="6"/>
                <c:pt idx="0">
                  <c:v>0.2</c:v>
                </c:pt>
                <c:pt idx="1">
                  <c:v>0.2076923076923077</c:v>
                </c:pt>
                <c:pt idx="2">
                  <c:v>0.23076923076923078</c:v>
                </c:pt>
                <c:pt idx="3">
                  <c:v>0.24615384615384617</c:v>
                </c:pt>
                <c:pt idx="4">
                  <c:v>4.6153846153846156E-2</c:v>
                </c:pt>
                <c:pt idx="5">
                  <c:v>6.9230769230769235E-2</c:v>
                </c:pt>
              </c:numCache>
            </c:numRef>
          </c:val>
          <c:extLst>
            <c:ext xmlns:c16="http://schemas.microsoft.com/office/drawing/2014/chart" uri="{C3380CC4-5D6E-409C-BE32-E72D297353CC}">
              <c16:uniqueId val="{00000000-31AC-4F08-8B90-B3DB37E8DF0A}"/>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[GRAPHIQUE.xlsx]Q15-4!Tableau croisé dynamique9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chemeClr val="tx1"/>
                </a:solidFill>
              </a:rPr>
              <a:t>Classez les différentes prises en charge dans l’ordre que vous recommanderiez pour une patiente atteinte du syndrome de Lacomme : [4ème choix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F467"/>
          </a:solidFill>
          <a:ln>
            <a:noFill/>
          </a:ln>
          <a:effectLst/>
        </c:spPr>
      </c:pivotFmt>
      <c:pivotFmt>
        <c:idx val="20"/>
        <c:spPr>
          <a:solidFill>
            <a:srgbClr val="FF9966"/>
          </a:solidFill>
          <a:ln>
            <a:noFill/>
          </a:ln>
          <a:effectLst/>
        </c:spPr>
      </c:pivotFmt>
      <c:pivotFmt>
        <c:idx val="21"/>
        <c:spPr>
          <a:solidFill>
            <a:srgbClr val="33CC33"/>
          </a:solidFill>
          <a:ln>
            <a:noFill/>
          </a:ln>
          <a:effectLst/>
        </c:spPr>
      </c:pivotFmt>
      <c:pivotFmt>
        <c:idx val="22"/>
        <c:spPr>
          <a:solidFill>
            <a:srgbClr val="CC00CC"/>
          </a:solidFill>
          <a:ln>
            <a:noFill/>
          </a:ln>
          <a:effectLst/>
        </c:spPr>
      </c:pivotFmt>
      <c:pivotFmt>
        <c:idx val="23"/>
        <c:spPr>
          <a:solidFill>
            <a:srgbClr val="00B0F0"/>
          </a:solidFill>
          <a:ln>
            <a:noFill/>
          </a:ln>
          <a:effectLst/>
        </c:spPr>
      </c:pivotFmt>
    </c:pivotFmts>
    <c:plotArea>
      <c:layout/>
      <c:barChart>
        <c:barDir val="bar"/>
        <c:grouping val="clustered"/>
        <c:varyColors val="0"/>
        <c:ser>
          <c:idx val="0"/>
          <c:order val="0"/>
          <c:tx>
            <c:strRef>
              <c:f>'Q15-4'!$B$3:$B$4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3-651B-473F-B176-4ACE6D41CE7E}"/>
              </c:ext>
            </c:extLst>
          </c:dPt>
          <c:dPt>
            <c:idx val="2"/>
            <c:invertIfNegative val="0"/>
            <c:bubble3D val="0"/>
            <c:spPr>
              <a:solidFill>
                <a:srgbClr val="00B0F0"/>
              </a:solidFill>
              <a:ln>
                <a:noFill/>
              </a:ln>
              <a:effectLst/>
            </c:spPr>
            <c:extLst>
              <c:ext xmlns:c16="http://schemas.microsoft.com/office/drawing/2014/chart" uri="{C3380CC4-5D6E-409C-BE32-E72D297353CC}">
                <c16:uniqueId val="{00000004-651B-473F-B176-4ACE6D41CE7E}"/>
              </c:ext>
            </c:extLst>
          </c:dPt>
          <c:dPt>
            <c:idx val="3"/>
            <c:invertIfNegative val="0"/>
            <c:bubble3D val="0"/>
            <c:spPr>
              <a:solidFill>
                <a:srgbClr val="33CC33"/>
              </a:solidFill>
              <a:ln>
                <a:noFill/>
              </a:ln>
              <a:effectLst/>
            </c:spPr>
            <c:extLst>
              <c:ext xmlns:c16="http://schemas.microsoft.com/office/drawing/2014/chart" uri="{C3380CC4-5D6E-409C-BE32-E72D297353CC}">
                <c16:uniqueId val="{00000002-651B-473F-B176-4ACE6D41CE7E}"/>
              </c:ext>
            </c:extLst>
          </c:dPt>
          <c:dPt>
            <c:idx val="4"/>
            <c:invertIfNegative val="0"/>
            <c:bubble3D val="0"/>
            <c:spPr>
              <a:solidFill>
                <a:srgbClr val="FF9966"/>
              </a:solidFill>
              <a:ln>
                <a:noFill/>
              </a:ln>
              <a:effectLst/>
            </c:spPr>
            <c:extLst>
              <c:ext xmlns:c16="http://schemas.microsoft.com/office/drawing/2014/chart" uri="{C3380CC4-5D6E-409C-BE32-E72D297353CC}">
                <c16:uniqueId val="{00000001-651B-473F-B176-4ACE6D41CE7E}"/>
              </c:ext>
            </c:extLst>
          </c:dPt>
          <c:dPt>
            <c:idx val="5"/>
            <c:invertIfNegative val="0"/>
            <c:bubble3D val="0"/>
            <c:spPr>
              <a:solidFill>
                <a:srgbClr val="FFF467"/>
              </a:solidFill>
              <a:ln>
                <a:noFill/>
              </a:ln>
              <a:effectLst/>
            </c:spPr>
            <c:extLst>
              <c:ext xmlns:c16="http://schemas.microsoft.com/office/drawing/2014/chart" uri="{C3380CC4-5D6E-409C-BE32-E72D297353CC}">
                <c16:uniqueId val="{00000000-651B-473F-B176-4ACE6D41CE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'Q15-4'!$A$5:$A$11</c:f>
              <c:strCache>
                <c:ptCount val="6"/>
                <c:pt idx="0">
                  <c:v>Ceinture de maintien/Support pelvien (n=30)</c:v>
                </c:pt>
                <c:pt idx="1">
                  <c:v>Conseils posturaux (n=17)</c:v>
                </c:pt>
                <c:pt idx="2">
                  <c:v>Exercices/Etirements (n=18)</c:v>
                </c:pt>
                <c:pt idx="3">
                  <c:v>Ostéopathie (n=23)</c:v>
                </c:pt>
                <c:pt idx="4">
                  <c:v>Repos/Limitation de mouvement (n=11)</c:v>
                </c:pt>
                <c:pt idx="5">
                  <c:v>Traitements médicamenteux (antalgiques/analgésiques) (n=31)</c:v>
                </c:pt>
              </c:strCache>
            </c:strRef>
          </c:cat>
          <c:val>
            <c:numRef>
              <c:f>'Q15-4'!$B$5:$B$11</c:f>
              <c:numCache>
                <c:formatCode>0.0%</c:formatCode>
                <c:ptCount val="6"/>
                <c:pt idx="0">
                  <c:v>0.23076923076923078</c:v>
                </c:pt>
                <c:pt idx="1">
                  <c:v>0.13076923076923078</c:v>
                </c:pt>
                <c:pt idx="2">
                  <c:v>0.13846153846153847</c:v>
                </c:pt>
                <c:pt idx="3">
                  <c:v>0.17692307692307693</c:v>
                </c:pt>
                <c:pt idx="4">
                  <c:v>8.461538461538462E-2</c:v>
                </c:pt>
                <c:pt idx="5">
                  <c:v>0.23846153846153847</c:v>
                </c:pt>
              </c:numCache>
            </c:numRef>
          </c:val>
          <c:extLst>
            <c:ext xmlns:c16="http://schemas.microsoft.com/office/drawing/2014/chart" uri="{C3380CC4-5D6E-409C-BE32-E72D297353CC}">
              <c16:uniqueId val="{00000000-4B00-455D-BD74-C343E89E23CA}"/>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[GRAPHIQUE.xlsx]Q15-5!Tableau croisé dynamique9</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Classez les différentes prises en charge dans l’ordre que vous recommanderiez pour une patiente atteinte du syndrome de Lacomme : [5ème choix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467"/>
          </a:solidFill>
          <a:ln>
            <a:noFill/>
          </a:ln>
          <a:effectLst/>
        </c:spPr>
      </c:pivotFmt>
      <c:pivotFmt>
        <c:idx val="19"/>
        <c:spPr>
          <a:solidFill>
            <a:srgbClr val="FF9966"/>
          </a:solidFill>
          <a:ln>
            <a:noFill/>
          </a:ln>
          <a:effectLst/>
        </c:spPr>
      </c:pivotFmt>
      <c:pivotFmt>
        <c:idx val="20"/>
        <c:spPr>
          <a:solidFill>
            <a:srgbClr val="33CC33"/>
          </a:solidFill>
          <a:ln>
            <a:noFill/>
          </a:ln>
          <a:effectLst/>
        </c:spPr>
      </c:pivotFmt>
      <c:pivotFmt>
        <c:idx val="21"/>
        <c:spPr>
          <a:solidFill>
            <a:srgbClr val="00B0F0"/>
          </a:solidFill>
          <a:ln>
            <a:noFill/>
          </a:ln>
          <a:effectLst/>
        </c:spPr>
      </c:pivotFmt>
      <c:pivotFmt>
        <c:idx val="22"/>
        <c:spPr>
          <a:solidFill>
            <a:srgbClr val="CC00CC"/>
          </a:solidFill>
          <a:ln>
            <a:noFill/>
          </a:ln>
          <a:effectLst/>
        </c:spPr>
      </c:pivotFmt>
    </c:pivotFmts>
    <c:plotArea>
      <c:layout/>
      <c:barChart>
        <c:barDir val="bar"/>
        <c:grouping val="clustered"/>
        <c:varyColors val="0"/>
        <c:ser>
          <c:idx val="0"/>
          <c:order val="0"/>
          <c:tx>
            <c:strRef>
              <c:f>'Q15-5'!$B$3:$B$4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4-DE3E-4ADA-B91F-E9AB409FEFAD}"/>
              </c:ext>
            </c:extLst>
          </c:dPt>
          <c:dPt>
            <c:idx val="2"/>
            <c:invertIfNegative val="0"/>
            <c:bubble3D val="0"/>
            <c:spPr>
              <a:solidFill>
                <a:srgbClr val="00B0F0"/>
              </a:solidFill>
              <a:ln>
                <a:noFill/>
              </a:ln>
              <a:effectLst/>
            </c:spPr>
            <c:extLst>
              <c:ext xmlns:c16="http://schemas.microsoft.com/office/drawing/2014/chart" uri="{C3380CC4-5D6E-409C-BE32-E72D297353CC}">
                <c16:uniqueId val="{00000003-DE3E-4ADA-B91F-E9AB409FEFAD}"/>
              </c:ext>
            </c:extLst>
          </c:dPt>
          <c:dPt>
            <c:idx val="3"/>
            <c:invertIfNegative val="0"/>
            <c:bubble3D val="0"/>
            <c:spPr>
              <a:solidFill>
                <a:srgbClr val="33CC33"/>
              </a:solidFill>
              <a:ln>
                <a:noFill/>
              </a:ln>
              <a:effectLst/>
            </c:spPr>
            <c:extLst>
              <c:ext xmlns:c16="http://schemas.microsoft.com/office/drawing/2014/chart" uri="{C3380CC4-5D6E-409C-BE32-E72D297353CC}">
                <c16:uniqueId val="{00000002-DE3E-4ADA-B91F-E9AB409FEFAD}"/>
              </c:ext>
            </c:extLst>
          </c:dPt>
          <c:dPt>
            <c:idx val="4"/>
            <c:invertIfNegative val="0"/>
            <c:bubble3D val="0"/>
            <c:spPr>
              <a:solidFill>
                <a:srgbClr val="FF9966"/>
              </a:solidFill>
              <a:ln>
                <a:noFill/>
              </a:ln>
              <a:effectLst/>
            </c:spPr>
            <c:extLst>
              <c:ext xmlns:c16="http://schemas.microsoft.com/office/drawing/2014/chart" uri="{C3380CC4-5D6E-409C-BE32-E72D297353CC}">
                <c16:uniqueId val="{00000001-DE3E-4ADA-B91F-E9AB409FEFAD}"/>
              </c:ext>
            </c:extLst>
          </c:dPt>
          <c:dPt>
            <c:idx val="5"/>
            <c:invertIfNegative val="0"/>
            <c:bubble3D val="0"/>
            <c:spPr>
              <a:solidFill>
                <a:srgbClr val="FFF467"/>
              </a:solidFill>
              <a:ln>
                <a:noFill/>
              </a:ln>
              <a:effectLst/>
            </c:spPr>
            <c:extLst>
              <c:ext xmlns:c16="http://schemas.microsoft.com/office/drawing/2014/chart" uri="{C3380CC4-5D6E-409C-BE32-E72D297353CC}">
                <c16:uniqueId val="{00000000-DE3E-4ADA-B91F-E9AB409FEFA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'Q15-5'!$A$5:$A$11</c:f>
              <c:strCache>
                <c:ptCount val="6"/>
                <c:pt idx="0">
                  <c:v>Ceinture de maintien/Support pelvien (n=21)</c:v>
                </c:pt>
                <c:pt idx="1">
                  <c:v>Conseils posturaux (n=15)</c:v>
                </c:pt>
                <c:pt idx="2">
                  <c:v>Exercices/Etirements (n=12)</c:v>
                </c:pt>
                <c:pt idx="3">
                  <c:v>Ostéopathie (n=14)</c:v>
                </c:pt>
                <c:pt idx="4">
                  <c:v>Repos/Limitation de mouvement (n=27)</c:v>
                </c:pt>
                <c:pt idx="5">
                  <c:v>Traitements médicamenteux (antalgiques/analgésiques) (n=41)</c:v>
                </c:pt>
              </c:strCache>
            </c:strRef>
          </c:cat>
          <c:val>
            <c:numRef>
              <c:f>'Q15-5'!$B$5:$B$11</c:f>
              <c:numCache>
                <c:formatCode>0.0%</c:formatCode>
                <c:ptCount val="6"/>
                <c:pt idx="0">
                  <c:v>0.16153846153846155</c:v>
                </c:pt>
                <c:pt idx="1">
                  <c:v>0.11538461538461539</c:v>
                </c:pt>
                <c:pt idx="2">
                  <c:v>9.2307692307692313E-2</c:v>
                </c:pt>
                <c:pt idx="3">
                  <c:v>0.1076923076923077</c:v>
                </c:pt>
                <c:pt idx="4">
                  <c:v>0.2076923076923077</c:v>
                </c:pt>
                <c:pt idx="5">
                  <c:v>0.31538461538461537</c:v>
                </c:pt>
              </c:numCache>
            </c:numRef>
          </c:val>
          <c:extLst>
            <c:ext xmlns:c16="http://schemas.microsoft.com/office/drawing/2014/chart" uri="{C3380CC4-5D6E-409C-BE32-E72D297353CC}">
              <c16:uniqueId val="{00000000-E3ED-4A78-A16E-9CD058EB9CB3}"/>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[GRAPHIQUE.xlsx]Q15-6!Tableau croisé dynamique9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chemeClr val="tx1"/>
                </a:solidFill>
              </a:rPr>
              <a:t>Classez les différentes prises en charge dans l’ordre que vous recommanderiez pour une patiente atteinte du syndrome de Lacomme : [6ème choix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467"/>
          </a:solidFill>
          <a:ln>
            <a:noFill/>
          </a:ln>
          <a:effectLst/>
        </c:spPr>
      </c:pivotFmt>
      <c:pivotFmt>
        <c:idx val="18"/>
        <c:spPr>
          <a:solidFill>
            <a:srgbClr val="FF9966"/>
          </a:solidFill>
          <a:ln>
            <a:noFill/>
          </a:ln>
          <a:effectLst/>
        </c:spPr>
      </c:pivotFmt>
      <c:pivotFmt>
        <c:idx val="19"/>
        <c:spPr>
          <a:solidFill>
            <a:srgbClr val="33CC33"/>
          </a:solidFill>
          <a:ln>
            <a:noFill/>
          </a:ln>
          <a:effectLst/>
        </c:spPr>
      </c:pivotFmt>
      <c:pivotFmt>
        <c:idx val="20"/>
        <c:spPr>
          <a:solidFill>
            <a:srgbClr val="00B0F0"/>
          </a:solidFill>
          <a:ln>
            <a:noFill/>
          </a:ln>
          <a:effectLst/>
        </c:spPr>
      </c:pivotFmt>
      <c:pivotFmt>
        <c:idx val="21"/>
        <c:spPr>
          <a:solidFill>
            <a:srgbClr val="CC00CC"/>
          </a:solidFill>
          <a:ln>
            <a:noFill/>
          </a:ln>
          <a:effectLst/>
        </c:spPr>
      </c:pivotFmt>
    </c:pivotFmts>
    <c:plotArea>
      <c:layout/>
      <c:barChart>
        <c:barDir val="bar"/>
        <c:grouping val="clustered"/>
        <c:varyColors val="0"/>
        <c:ser>
          <c:idx val="0"/>
          <c:order val="0"/>
          <c:tx>
            <c:strRef>
              <c:f>'Q15-6'!$B$3:$B$4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CC00CC"/>
              </a:solidFill>
              <a:ln>
                <a:noFill/>
              </a:ln>
              <a:effectLst/>
            </c:spPr>
            <c:extLst>
              <c:ext xmlns:c16="http://schemas.microsoft.com/office/drawing/2014/chart" uri="{C3380CC4-5D6E-409C-BE32-E72D297353CC}">
                <c16:uniqueId val="{00000004-CD3F-4A6C-A8F9-0A5CA077019D}"/>
              </c:ext>
            </c:extLst>
          </c:dPt>
          <c:dPt>
            <c:idx val="2"/>
            <c:invertIfNegative val="0"/>
            <c:bubble3D val="0"/>
            <c:spPr>
              <a:solidFill>
                <a:srgbClr val="00B0F0"/>
              </a:solidFill>
              <a:ln>
                <a:noFill/>
              </a:ln>
              <a:effectLst/>
            </c:spPr>
            <c:extLst>
              <c:ext xmlns:c16="http://schemas.microsoft.com/office/drawing/2014/chart" uri="{C3380CC4-5D6E-409C-BE32-E72D297353CC}">
                <c16:uniqueId val="{00000003-CD3F-4A6C-A8F9-0A5CA077019D}"/>
              </c:ext>
            </c:extLst>
          </c:dPt>
          <c:dPt>
            <c:idx val="3"/>
            <c:invertIfNegative val="0"/>
            <c:bubble3D val="0"/>
            <c:spPr>
              <a:solidFill>
                <a:srgbClr val="33CC33"/>
              </a:solidFill>
              <a:ln>
                <a:noFill/>
              </a:ln>
              <a:effectLst/>
            </c:spPr>
            <c:extLst>
              <c:ext xmlns:c16="http://schemas.microsoft.com/office/drawing/2014/chart" uri="{C3380CC4-5D6E-409C-BE32-E72D297353CC}">
                <c16:uniqueId val="{00000002-CD3F-4A6C-A8F9-0A5CA077019D}"/>
              </c:ext>
            </c:extLst>
          </c:dPt>
          <c:dPt>
            <c:idx val="4"/>
            <c:invertIfNegative val="0"/>
            <c:bubble3D val="0"/>
            <c:spPr>
              <a:solidFill>
                <a:srgbClr val="FF9966"/>
              </a:solidFill>
              <a:ln>
                <a:noFill/>
              </a:ln>
              <a:effectLst/>
            </c:spPr>
            <c:extLst>
              <c:ext xmlns:c16="http://schemas.microsoft.com/office/drawing/2014/chart" uri="{C3380CC4-5D6E-409C-BE32-E72D297353CC}">
                <c16:uniqueId val="{00000001-CD3F-4A6C-A8F9-0A5CA077019D}"/>
              </c:ext>
            </c:extLst>
          </c:dPt>
          <c:dPt>
            <c:idx val="5"/>
            <c:invertIfNegative val="0"/>
            <c:bubble3D val="0"/>
            <c:spPr>
              <a:solidFill>
                <a:srgbClr val="FFF467"/>
              </a:solidFill>
              <a:ln>
                <a:noFill/>
              </a:ln>
              <a:effectLst/>
            </c:spPr>
            <c:extLst>
              <c:ext xmlns:c16="http://schemas.microsoft.com/office/drawing/2014/chart" uri="{C3380CC4-5D6E-409C-BE32-E72D297353CC}">
                <c16:uniqueId val="{00000000-CD3F-4A6C-A8F9-0A5CA07701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'Q15-6'!$A$5:$A$11</c:f>
              <c:strCache>
                <c:ptCount val="6"/>
                <c:pt idx="0">
                  <c:v>Ceinture de maintien/Support pelvien (n=6)</c:v>
                </c:pt>
                <c:pt idx="1">
                  <c:v>Conseils posturaux (n=8)</c:v>
                </c:pt>
                <c:pt idx="2">
                  <c:v>Exercices/Etirements (n=4)</c:v>
                </c:pt>
                <c:pt idx="3">
                  <c:v>Ostéopathie (n=9)</c:v>
                </c:pt>
                <c:pt idx="4">
                  <c:v>Repos/Limitation de mouvement (n=73)</c:v>
                </c:pt>
                <c:pt idx="5">
                  <c:v>Traitements médicamenteux (antalgiques/analgésiques) (n=30)</c:v>
                </c:pt>
              </c:strCache>
            </c:strRef>
          </c:cat>
          <c:val>
            <c:numRef>
              <c:f>'Q15-6'!$B$5:$B$11</c:f>
              <c:numCache>
                <c:formatCode>0.0%</c:formatCode>
                <c:ptCount val="6"/>
                <c:pt idx="0">
                  <c:v>4.6153846153846156E-2</c:v>
                </c:pt>
                <c:pt idx="1">
                  <c:v>6.1538461538461542E-2</c:v>
                </c:pt>
                <c:pt idx="2">
                  <c:v>3.0769230769230771E-2</c:v>
                </c:pt>
                <c:pt idx="3">
                  <c:v>6.9230769230769235E-2</c:v>
                </c:pt>
                <c:pt idx="4">
                  <c:v>0.56153846153846154</c:v>
                </c:pt>
                <c:pt idx="5">
                  <c:v>0.23076923076923078</c:v>
                </c:pt>
              </c:numCache>
            </c:numRef>
          </c:val>
          <c:extLst>
            <c:ext xmlns:c16="http://schemas.microsoft.com/office/drawing/2014/chart" uri="{C3380CC4-5D6E-409C-BE32-E72D297353CC}">
              <c16:uniqueId val="{00000000-E255-4F56-950B-2654C3804B72}"/>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60000000000000009"/>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[GRAPHIQUE.xlsx]Q16!Tableau croisé dynamique9</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Pensez-vous que l'ostéopathie constitue une approche pertinente pour traiter le syndrome de Lacomme et qu’elle mérite d’être recommandée aux patientes concernées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'Q16'!$B$3:$B$4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'Q16'!$A$5:$A$10</c:f>
              <c:strCache>
                <c:ptCount val="5"/>
                <c:pt idx="0">
                  <c:v>1 = Non, pas du tout  (n=3)</c:v>
                </c:pt>
                <c:pt idx="1">
                  <c:v>2 = Plutôt non  (n=5)</c:v>
                </c:pt>
                <c:pt idx="2">
                  <c:v>3 = Moyennement  (n=18)</c:v>
                </c:pt>
                <c:pt idx="3">
                  <c:v>4 = Plutôt oui   (n=64)</c:v>
                </c:pt>
                <c:pt idx="4">
                  <c:v>5 = Oui, tout à fait (n=61)</c:v>
                </c:pt>
              </c:strCache>
            </c:strRef>
          </c:cat>
          <c:val>
            <c:numRef>
              <c:f>'Q16'!$B$5:$B$10</c:f>
              <c:numCache>
                <c:formatCode>0.0%</c:formatCode>
                <c:ptCount val="5"/>
                <c:pt idx="0">
                  <c:v>1.9867549668874173E-2</c:v>
                </c:pt>
                <c:pt idx="1">
                  <c:v>3.3112582781456956E-2</c:v>
                </c:pt>
                <c:pt idx="2">
                  <c:v>0.11920529801324503</c:v>
                </c:pt>
                <c:pt idx="3">
                  <c:v>0.42384105960264901</c:v>
                </c:pt>
                <c:pt idx="4">
                  <c:v>0.40397350993377484</c:v>
                </c:pt>
              </c:numCache>
            </c:numRef>
          </c:val>
          <c:extLst>
            <c:ext xmlns:c16="http://schemas.microsoft.com/office/drawing/2014/chart" uri="{C3380CC4-5D6E-409C-BE32-E72D297353CC}">
              <c16:uniqueId val="{00000000-713D-488C-9D33-3CA4A082D359}"/>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'Q17'!$E$3</c:f>
              <c:strCache>
                <c:ptCount val="1"/>
                <c:pt idx="0">
                  <c:v>Si oui, à quel moment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3E-46F1-9C6F-34DD1D7012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3E-46F1-9C6F-34DD1D7012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3E-46F1-9C6F-34DD1D7012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3E-46F1-9C6F-34DD1D7012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3E-46F1-9C6F-34DD1D70122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'Q17'!$D$4:$D$8</c:f>
              <c:strCache>
                <c:ptCount val="5"/>
                <c:pt idx="0">
                  <c:v>Dès les premiers symptômes (n=97)</c:v>
                </c:pt>
                <c:pt idx="1">
                  <c:v>En cas d’absence de réussite d’autres prises en charge (n=36)</c:v>
                </c:pt>
                <c:pt idx="2">
                  <c:v>Prise en charge prénatale et post-partum (n=1)</c:v>
                </c:pt>
                <c:pt idx="3">
                  <c:v>En fin de grossesse (n=9)</c:v>
                </c:pt>
                <c:pt idx="4">
                  <c:v>En post-partum (n=1)</c:v>
                </c:pt>
              </c:strCache>
            </c:strRef>
          </c:cat>
          <c:val>
            <c:numRef>
              <c:f>'Q17'!$E$4:$E$8</c:f>
              <c:numCache>
                <c:formatCode>0.0%</c:formatCode>
                <c:ptCount val="5"/>
                <c:pt idx="0">
                  <c:v>0.67361111111111116</c:v>
                </c:pt>
                <c:pt idx="1">
                  <c:v>0.25</c:v>
                </c:pt>
                <c:pt idx="2">
                  <c:v>6.9444444444444441E-3</c:v>
                </c:pt>
                <c:pt idx="3">
                  <c:v>6.25E-2</c:v>
                </c:pt>
                <c:pt idx="4">
                  <c:v>6.9444444444444441E-3</c:v>
                </c:pt>
              </c:numCache>
            </c:numRef>
          </c:val>
          <c:extLst>
            <c:ext xmlns:c16="http://schemas.microsoft.com/office/drawing/2014/chart" uri="{C3380CC4-5D6E-409C-BE32-E72D297353CC}">
              <c16:uniqueId val="{00000000-1D94-422E-809F-9B898E2AB8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Si oui, à quel moment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'Q17'!$E$3</c:f>
              <c:strCache>
                <c:ptCount val="1"/>
                <c:pt idx="0">
                  <c:v>Si oui, à quel moment ?</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'Q17'!$D$4:$D$8</c:f>
              <c:strCache>
                <c:ptCount val="5"/>
                <c:pt idx="0">
                  <c:v>Dès les premiers symptômes (n=97)</c:v>
                </c:pt>
                <c:pt idx="1">
                  <c:v>En cas d’absence de réussite d’autres prises en charge (n=36)</c:v>
                </c:pt>
                <c:pt idx="2">
                  <c:v>Prise en charge prénatale et post-partum (n=1)</c:v>
                </c:pt>
                <c:pt idx="3">
                  <c:v>En fin de grossesse (n=9)</c:v>
                </c:pt>
                <c:pt idx="4">
                  <c:v>En post-partum (n=1)</c:v>
                </c:pt>
              </c:strCache>
            </c:strRef>
          </c:cat>
          <c:val>
            <c:numRef>
              <c:f>'Q17'!$E$4:$E$8</c:f>
              <c:numCache>
                <c:formatCode>0.0%</c:formatCode>
                <c:ptCount val="5"/>
                <c:pt idx="0">
                  <c:v>0.67361111111111116</c:v>
                </c:pt>
                <c:pt idx="1">
                  <c:v>0.25</c:v>
                </c:pt>
                <c:pt idx="2">
                  <c:v>6.9444444444444441E-3</c:v>
                </c:pt>
                <c:pt idx="3">
                  <c:v>6.25E-2</c:v>
                </c:pt>
                <c:pt idx="4">
                  <c:v>6.9444444444444441E-3</c:v>
                </c:pt>
              </c:numCache>
            </c:numRef>
          </c:val>
          <c:extLst>
            <c:ext xmlns:c16="http://schemas.microsoft.com/office/drawing/2014/chart" uri="{C3380CC4-5D6E-409C-BE32-E72D297353CC}">
              <c16:uniqueId val="{00000000-D8B9-4A51-A68B-73B362A7E7C3}"/>
            </c:ext>
          </c:extLst>
        </c:ser>
        <c:dLbls>
          <c:showLegendKey val="0"/>
          <c:showVal val="0"/>
          <c:showCatName val="0"/>
          <c:showSerName val="0"/>
          <c:showPercent val="0"/>
          <c:showBubbleSize val="0"/>
        </c:dLbls>
        <c:gapWidth val="182"/>
        <c:axId val="1878759391"/>
        <c:axId val="1878754591"/>
      </c:barChart>
      <c:catAx>
        <c:axId val="187875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8754591"/>
        <c:crosses val="autoZero"/>
        <c:auto val="1"/>
        <c:lblAlgn val="ctr"/>
        <c:lblOffset val="100"/>
        <c:noMultiLvlLbl val="0"/>
      </c:catAx>
      <c:valAx>
        <c:axId val="18787545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8759391"/>
        <c:crosses val="autoZero"/>
        <c:crossBetween val="between"/>
        <c:maj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[GRAPHIQUE.xlsx]Q18!Tableau croisé dynamique9</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Pensez-vous que les patientes sont suffisamment informées sur les possibilités de prises en charge ostéopathiques du syndrome de Lacomme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'Q18'!$B$3:$B$4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'Q18'!$A$5:$A$10</c:f>
              <c:strCache>
                <c:ptCount val="5"/>
                <c:pt idx="0">
                  <c:v>1 = Non, pas du tout  (n=45)</c:v>
                </c:pt>
                <c:pt idx="1">
                  <c:v>2 = Plutôt non  (n=62)</c:v>
                </c:pt>
                <c:pt idx="2">
                  <c:v>3 = Moyennement   (n=31)</c:v>
                </c:pt>
                <c:pt idx="3">
                  <c:v>4 = Plutôt oui  (n=12)</c:v>
                </c:pt>
                <c:pt idx="4">
                  <c:v>5 = Oui, tout à fait   (n=1)</c:v>
                </c:pt>
              </c:strCache>
            </c:strRef>
          </c:cat>
          <c:val>
            <c:numRef>
              <c:f>'Q18'!$B$5:$B$10</c:f>
              <c:numCache>
                <c:formatCode>0.0%</c:formatCode>
                <c:ptCount val="5"/>
                <c:pt idx="0">
                  <c:v>0.29801324503311261</c:v>
                </c:pt>
                <c:pt idx="1">
                  <c:v>0.41059602649006621</c:v>
                </c:pt>
                <c:pt idx="2">
                  <c:v>0.20529801324503311</c:v>
                </c:pt>
                <c:pt idx="3">
                  <c:v>7.9470198675496692E-2</c:v>
                </c:pt>
                <c:pt idx="4">
                  <c:v>6.6225165562913907E-3</c:v>
                </c:pt>
              </c:numCache>
            </c:numRef>
          </c:val>
          <c:extLst>
            <c:ext xmlns:c16="http://schemas.microsoft.com/office/drawing/2014/chart" uri="{C3380CC4-5D6E-409C-BE32-E72D297353CC}">
              <c16:uniqueId val="{00000000-21B6-47C8-8987-FAC3853F3FE0}"/>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[GRAPHIQUE.xlsx]Q19!Tableau croisé dynamique9</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cap="none" spc="0" baseline="0">
                <a:solidFill>
                  <a:schemeClr val="tx1"/>
                </a:solidFill>
                <a:uFillTx/>
                <a:latin typeface="Calibri"/>
              </a:rPr>
              <a:t>Quels sont les facteurs qui permettraient de favoriser l’intégration de l’ostéopathie dans la prise en charge du syndrome de Lacomme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'Q19'!$B$3:$B$4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'Q19'!$A$5:$A$12</c:f>
              <c:strCache>
                <c:ptCount val="7"/>
                <c:pt idx="0">
                  <c:v>Contenus pédagogiques sur les principes ostéopathiques inscrits au parcours académique (n=85)</c:v>
                </c:pt>
                <c:pt idx="1">
                  <c:v>Intégration de l’ostéopathie dans les structures de santé (n=86)</c:v>
                </c:pt>
                <c:pt idx="2">
                  <c:v>Médiatisation/Réseaux sociaux (n=24)</c:v>
                </c:pt>
                <c:pt idx="3">
                  <c:v>Preuves scientifiques (n=95)</c:v>
                </c:pt>
                <c:pt idx="4">
                  <c:v>Reconnaissance institutionnelle (n=83)</c:v>
                </c:pt>
                <c:pt idx="5">
                  <c:v>Réduction du coût des séances pour les patientes (n=95)</c:v>
                </c:pt>
                <c:pt idx="6">
                  <c:v>Retours de patientes (n=50)</c:v>
                </c:pt>
              </c:strCache>
            </c:strRef>
          </c:cat>
          <c:val>
            <c:numRef>
              <c:f>'Q19'!$B$5:$B$12</c:f>
              <c:numCache>
                <c:formatCode>0.0%</c:formatCode>
                <c:ptCount val="7"/>
                <c:pt idx="0">
                  <c:v>0.1640926640926641</c:v>
                </c:pt>
                <c:pt idx="1">
                  <c:v>0.16602316602316602</c:v>
                </c:pt>
                <c:pt idx="2">
                  <c:v>4.633204633204633E-2</c:v>
                </c:pt>
                <c:pt idx="3">
                  <c:v>0.18339768339768339</c:v>
                </c:pt>
                <c:pt idx="4">
                  <c:v>0.16023166023166024</c:v>
                </c:pt>
                <c:pt idx="5">
                  <c:v>0.18339768339768339</c:v>
                </c:pt>
                <c:pt idx="6">
                  <c:v>9.6525096525096526E-2</c:v>
                </c:pt>
              </c:numCache>
            </c:numRef>
          </c:val>
          <c:extLst>
            <c:ext xmlns:c16="http://schemas.microsoft.com/office/drawing/2014/chart" uri="{C3380CC4-5D6E-409C-BE32-E72D297353CC}">
              <c16:uniqueId val="{00000000-77B9-48B5-924C-1047BB8E1FE9}"/>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[GRAPHIQUE.xlsx]Q20!Tableau croisé dynamique9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Quels sont, selon vous, les freins à l’intégration de l’ostéopathie dans la pratique sage-femme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'Q20'!$B$3:$B$4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'Q20'!$A$5:$A$11</c:f>
              <c:strCache>
                <c:ptCount val="6"/>
                <c:pt idx="0">
                  <c:v>Absence de connaissances sur la pratique ostéopathique (n=72)</c:v>
                </c:pt>
                <c:pt idx="1">
                  <c:v>Absence de reconnaissance institutionnelle (n=72)</c:v>
                </c:pt>
                <c:pt idx="2">
                  <c:v>Coût pour les patientes (n=100)</c:v>
                </c:pt>
                <c:pt idx="3">
                  <c:v>Insuffisance de collaboration interprofessionnelle avec des ostéopathes (n=62)</c:v>
                </c:pt>
                <c:pt idx="4">
                  <c:v>Insuffisance de preuves scientifiques (n=73)</c:v>
                </c:pt>
                <c:pt idx="5">
                  <c:v>Peu de contenus pédagogiques sur les principes ostéopathiques inscrits au parcours académique (n=74)</c:v>
                </c:pt>
              </c:strCache>
            </c:strRef>
          </c:cat>
          <c:val>
            <c:numRef>
              <c:f>'Q20'!$B$5:$B$11</c:f>
              <c:numCache>
                <c:formatCode>0.0%</c:formatCode>
                <c:ptCount val="6"/>
                <c:pt idx="0">
                  <c:v>0.15894039735099338</c:v>
                </c:pt>
                <c:pt idx="1">
                  <c:v>0.15894039735099338</c:v>
                </c:pt>
                <c:pt idx="2">
                  <c:v>0.22075055187637968</c:v>
                </c:pt>
                <c:pt idx="3">
                  <c:v>0.13686534216335541</c:v>
                </c:pt>
                <c:pt idx="4">
                  <c:v>0.16114790286975716</c:v>
                </c:pt>
                <c:pt idx="5">
                  <c:v>0.16335540838852097</c:v>
                </c:pt>
              </c:numCache>
            </c:numRef>
          </c:val>
          <c:extLst>
            <c:ext xmlns:c16="http://schemas.microsoft.com/office/drawing/2014/chart" uri="{C3380CC4-5D6E-409C-BE32-E72D297353CC}">
              <c16:uniqueId val="{00000000-21A8-4CC0-9052-1CBF46125412}"/>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[GRAPHIQUE.xlsx]Q21!Tableau croisé dynamique9</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t>Quels sont les facteurs qui influencent votre décision de recommander ou non l’ostéopathie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'Q21'!$B$3:$B$4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'Q21'!$A$5:$A$15</c:f>
              <c:strCache>
                <c:ptCount val="10"/>
                <c:pt idx="0">
                  <c:v>Caractère chronique ou aigu des douleurs (n=72)</c:v>
                </c:pt>
                <c:pt idx="1">
                  <c:v>Collaboration interprofessionnelle préexistante (n=45)</c:v>
                </c:pt>
                <c:pt idx="2">
                  <c:v>Convictions personnelles concernant cette approche thérapeutique (n=64)</c:v>
                </c:pt>
                <c:pt idx="3">
                  <c:v>Coût pour les patientes (n=4)</c:v>
                </c:pt>
                <c:pt idx="4">
                  <c:v>Disponibilité et/ou accessibilité d’ostéopathes dans votre réseau (n=54)</c:v>
                </c:pt>
                <c:pt idx="5">
                  <c:v>Expérience personnelle antérieure positive ou négative avec l’ostéopathie (n=49)</c:v>
                </c:pt>
                <c:pt idx="6">
                  <c:v>Moment de la douleur (n=11)</c:v>
                </c:pt>
                <c:pt idx="7">
                  <c:v>Motivation des patientes pour une prise en charge manuelle complémentaire (n=97)</c:v>
                </c:pt>
                <c:pt idx="8">
                  <c:v>Réponse ou non aux autres traitements (n=59)</c:v>
                </c:pt>
                <c:pt idx="9">
                  <c:v>Spécialisation de l’ostéopathe en périnatalité (n=83)</c:v>
                </c:pt>
              </c:strCache>
            </c:strRef>
          </c:cat>
          <c:val>
            <c:numRef>
              <c:f>'Q21'!$B$5:$B$15</c:f>
              <c:numCache>
                <c:formatCode>0.0%</c:formatCode>
                <c:ptCount val="10"/>
                <c:pt idx="0">
                  <c:v>0.13382899628252787</c:v>
                </c:pt>
                <c:pt idx="1">
                  <c:v>8.3643122676579931E-2</c:v>
                </c:pt>
                <c:pt idx="2">
                  <c:v>0.11895910780669144</c:v>
                </c:pt>
                <c:pt idx="3">
                  <c:v>7.4349442379182153E-3</c:v>
                </c:pt>
                <c:pt idx="4">
                  <c:v>0.10037174721189591</c:v>
                </c:pt>
                <c:pt idx="5">
                  <c:v>9.1078066914498143E-2</c:v>
                </c:pt>
                <c:pt idx="6">
                  <c:v>2.0446096654275093E-2</c:v>
                </c:pt>
                <c:pt idx="7">
                  <c:v>0.18029739776951673</c:v>
                </c:pt>
                <c:pt idx="8">
                  <c:v>0.10966542750929369</c:v>
                </c:pt>
                <c:pt idx="9">
                  <c:v>0.15427509293680297</c:v>
                </c:pt>
              </c:numCache>
            </c:numRef>
          </c:val>
          <c:extLst>
            <c:ext xmlns:c16="http://schemas.microsoft.com/office/drawing/2014/chart" uri="{C3380CC4-5D6E-409C-BE32-E72D297353CC}">
              <c16:uniqueId val="{00000000-3C71-479C-8199-6E190CF52A94}"/>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Les recommandations officielles (HAS, CNGOF, Ordre des sages-femmes) influencent-elles votre décision d’orienter vers l’ostéopathie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'Q22'!$E$3</c:f>
              <c:strCache>
                <c:ptCount val="1"/>
                <c:pt idx="0">
                  <c:v>Q22 : Les recommandations officielles (HAS, CNGOF, Ordre des sages-femmes) influencent-elles votre décision d’orienter vers l’ostéopathie ?</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42C2-446C-B929-57F95DCB7AA3}"/>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42C2-446C-B929-57F95DCB7AA3}"/>
              </c:ext>
            </c:extLst>
          </c:dPt>
          <c:dPt>
            <c:idx val="2"/>
            <c:bubble3D val="0"/>
            <c:spPr>
              <a:solidFill>
                <a:srgbClr val="33CC33"/>
              </a:solidFill>
              <a:ln w="19050">
                <a:solidFill>
                  <a:schemeClr val="lt1"/>
                </a:solidFill>
              </a:ln>
              <a:effectLst/>
            </c:spPr>
            <c:extLst>
              <c:ext xmlns:c16="http://schemas.microsoft.com/office/drawing/2014/chart" uri="{C3380CC4-5D6E-409C-BE32-E72D297353CC}">
                <c16:uniqueId val="{00000005-42C2-446C-B929-57F95DCB7AA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'Q22'!$D$4:$D$6</c:f>
              <c:strCache>
                <c:ptCount val="3"/>
                <c:pt idx="0">
                  <c:v>Non (n=59)</c:v>
                </c:pt>
                <c:pt idx="1">
                  <c:v>Oui (n=59)</c:v>
                </c:pt>
                <c:pt idx="2">
                  <c:v>Sans avis (n=32)</c:v>
                </c:pt>
              </c:strCache>
            </c:strRef>
          </c:cat>
          <c:val>
            <c:numRef>
              <c:f>'Q22'!$E$4:$E$6</c:f>
              <c:numCache>
                <c:formatCode>0.0%</c:formatCode>
                <c:ptCount val="3"/>
                <c:pt idx="0">
                  <c:v>0.39333333333333331</c:v>
                </c:pt>
                <c:pt idx="1">
                  <c:v>0.39333333333333331</c:v>
                </c:pt>
                <c:pt idx="2">
                  <c:v>0.21333333333333335</c:v>
                </c:pt>
              </c:numCache>
            </c:numRef>
          </c:val>
          <c:extLst>
            <c:ext xmlns:c16="http://schemas.microsoft.com/office/drawing/2014/chart" uri="{C3380CC4-5D6E-409C-BE32-E72D297353CC}">
              <c16:uniqueId val="{00000000-E8DA-40FE-8E16-8466460115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Pensez-vous que la collaboration entre sages-femmes et ostéopathes pourrait améliorer la prise en charge des femmes enceintes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'Q23'!$E$3</c:f>
              <c:strCache>
                <c:ptCount val="1"/>
                <c:pt idx="0">
                  <c:v>Q23 : Pensez-vous que la collaboration entre sages-femmes et ostéopathes pourrait améliorer la prise en charge des femmes enceintes ?</c:v>
                </c:pt>
              </c:strCache>
            </c:strRef>
          </c:tx>
          <c:dPt>
            <c:idx val="0"/>
            <c:bubble3D val="0"/>
            <c:spPr>
              <a:solidFill>
                <a:srgbClr val="33CC33"/>
              </a:solidFill>
              <a:ln w="19050">
                <a:solidFill>
                  <a:schemeClr val="lt1"/>
                </a:solidFill>
              </a:ln>
              <a:effectLst/>
            </c:spPr>
            <c:extLst>
              <c:ext xmlns:c16="http://schemas.microsoft.com/office/drawing/2014/chart" uri="{C3380CC4-5D6E-409C-BE32-E72D297353CC}">
                <c16:uniqueId val="{00000001-11DE-45B0-AA4D-4238757DB48A}"/>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3B46-4EDD-841B-589086C3A0CD}"/>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B46-4EDD-841B-589086C3A0CD}"/>
              </c:ext>
            </c:extLst>
          </c:dPt>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7.6084721365412292E-2"/>
                      <c:h val="6.3946406820950055E-2"/>
                    </c:manualLayout>
                  </c15:layout>
                </c:ext>
                <c:ext xmlns:c16="http://schemas.microsoft.com/office/drawing/2014/chart" uri="{C3380CC4-5D6E-409C-BE32-E72D297353CC}">
                  <c16:uniqueId val="{00000001-11DE-45B0-AA4D-4238757DB48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'Q23'!$D$4:$D$6</c:f>
              <c:strCache>
                <c:ptCount val="3"/>
                <c:pt idx="0">
                  <c:v>Non (n=5)</c:v>
                </c:pt>
                <c:pt idx="1">
                  <c:v>Oui (n=139)</c:v>
                </c:pt>
                <c:pt idx="2">
                  <c:v>Sans avis (n=7)</c:v>
                </c:pt>
              </c:strCache>
            </c:strRef>
          </c:cat>
          <c:val>
            <c:numRef>
              <c:f>'Q23'!$E$4:$E$6</c:f>
              <c:numCache>
                <c:formatCode>0.0%</c:formatCode>
                <c:ptCount val="3"/>
                <c:pt idx="0">
                  <c:v>3.3112582781456956E-2</c:v>
                </c:pt>
                <c:pt idx="1">
                  <c:v>0.92052980132450335</c:v>
                </c:pt>
                <c:pt idx="2">
                  <c:v>4.6357615894039736E-2</c:v>
                </c:pt>
              </c:numCache>
            </c:numRef>
          </c:val>
          <c:extLst>
            <c:ext xmlns:c16="http://schemas.microsoft.com/office/drawing/2014/chart" uri="{C3380CC4-5D6E-409C-BE32-E72D297353CC}">
              <c16:uniqueId val="{00000000-11DE-45B0-AA4D-4238757DB4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Seriez-vous favorable à l’intégration d’ostéopathes dans les équipes pluridisciplinaires périnatales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lotArea>
      <c:layout/>
      <c:pieChart>
        <c:varyColors val="1"/>
        <c:ser>
          <c:idx val="0"/>
          <c:order val="0"/>
          <c:tx>
            <c:strRef>
              <c:f>'Q24'!$E$3</c:f>
              <c:strCache>
                <c:ptCount val="1"/>
                <c:pt idx="0">
                  <c:v>Q24 : Seriez-vous favorable à l’intégration d’ostéopathes dans les équipes pluridisciplinaires périnatales ?</c:v>
                </c:pt>
              </c:strCache>
            </c:strRef>
          </c:tx>
          <c:dPt>
            <c:idx val="0"/>
            <c:bubble3D val="0"/>
            <c:spPr>
              <a:solidFill>
                <a:srgbClr val="33CC33"/>
              </a:solidFill>
              <a:ln w="19050">
                <a:solidFill>
                  <a:schemeClr val="lt1"/>
                </a:solidFill>
              </a:ln>
              <a:effectLst/>
            </c:spPr>
            <c:extLst>
              <c:ext xmlns:c16="http://schemas.microsoft.com/office/drawing/2014/chart" uri="{C3380CC4-5D6E-409C-BE32-E72D297353CC}">
                <c16:uniqueId val="{00000001-F6B5-420E-843F-E410BA415A19}"/>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1948-4064-8847-B65C3D2C35D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1948-4064-8847-B65C3D2C35D9}"/>
              </c:ext>
            </c:extLst>
          </c:dPt>
          <c:dLbls>
            <c:dLbl>
              <c:idx val="0"/>
              <c:layout>
                <c:manualLayout>
                  <c:x val="6.3581718255990441E-3"/>
                  <c:y val="1.06847311216049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5-420E-843F-E410BA415A1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'Q24'!$D$4:$D$6</c:f>
              <c:strCache>
                <c:ptCount val="3"/>
                <c:pt idx="0">
                  <c:v>Non (n=7)</c:v>
                </c:pt>
                <c:pt idx="1">
                  <c:v>Oui (n=136)</c:v>
                </c:pt>
                <c:pt idx="2">
                  <c:v>Sans avis (n=8)</c:v>
                </c:pt>
              </c:strCache>
            </c:strRef>
          </c:cat>
          <c:val>
            <c:numRef>
              <c:f>'Q24'!$E$4:$E$6</c:f>
              <c:numCache>
                <c:formatCode>0.0%</c:formatCode>
                <c:ptCount val="3"/>
                <c:pt idx="0">
                  <c:v>4.6357615894039736E-2</c:v>
                </c:pt>
                <c:pt idx="1">
                  <c:v>0.90066225165562919</c:v>
                </c:pt>
                <c:pt idx="2">
                  <c:v>5.2980132450331126E-2</c:v>
                </c:pt>
              </c:numCache>
            </c:numRef>
          </c:val>
          <c:extLst>
            <c:ext xmlns:c16="http://schemas.microsoft.com/office/drawing/2014/chart" uri="{C3380CC4-5D6E-409C-BE32-E72D297353CC}">
              <c16:uniqueId val="{00000000-F6B5-420E-843F-E410BA415A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[GRAPHIQUE.xlsx]Q25!Tableau croisé dynamique9</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Quels éléments pourraient favoriser une meilleure collaboration entre sages-femmes et ostéopathes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'Q25'!$B$3:$B$4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'Q25'!$A$5:$A$12</c:f>
              <c:strCache>
                <c:ptCount val="7"/>
                <c:pt idx="0">
                  <c:v> Encadrement institutionnel et recommandations officielles (n=104)</c:v>
                </c:pt>
                <c:pt idx="1">
                  <c:v>Absence ou inefficacité d’autres solutions thérapeutiques (n=16)</c:v>
                </c:pt>
                <c:pt idx="2">
                  <c:v>Demande des patientes (n=68)</c:v>
                </c:pt>
                <c:pt idx="3">
                  <c:v>Formations sémiologiques supplémentaires des ostéopathes (n=39)</c:v>
                </c:pt>
                <c:pt idx="4">
                  <c:v>Mise en place de protocoles règlementés (n=79)</c:v>
                </c:pt>
                <c:pt idx="5">
                  <c:v>Preuves de résultats positifs des traitements ostéopathiques (n=104)</c:v>
                </c:pt>
                <c:pt idx="6">
                  <c:v>Recommandations par d’autres professionnels de santé (n=36)</c:v>
                </c:pt>
              </c:strCache>
            </c:strRef>
          </c:cat>
          <c:val>
            <c:numRef>
              <c:f>'Q25'!$B$5:$B$12</c:f>
              <c:numCache>
                <c:formatCode>0.0%</c:formatCode>
                <c:ptCount val="7"/>
                <c:pt idx="0">
                  <c:v>0.23318385650224216</c:v>
                </c:pt>
                <c:pt idx="1">
                  <c:v>3.5874439461883408E-2</c:v>
                </c:pt>
                <c:pt idx="2">
                  <c:v>0.15246636771300448</c:v>
                </c:pt>
                <c:pt idx="3">
                  <c:v>8.744394618834081E-2</c:v>
                </c:pt>
                <c:pt idx="4">
                  <c:v>0.17713004484304934</c:v>
                </c:pt>
                <c:pt idx="5">
                  <c:v>0.23318385650224216</c:v>
                </c:pt>
                <c:pt idx="6">
                  <c:v>8.0717488789237665E-2</c:v>
                </c:pt>
              </c:numCache>
            </c:numRef>
          </c:val>
          <c:extLst>
            <c:ext xmlns:c16="http://schemas.microsoft.com/office/drawing/2014/chart" uri="{C3380CC4-5D6E-409C-BE32-E72D297353CC}">
              <c16:uniqueId val="{00000000-B347-402A-8634-529C36D6C8DC}"/>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[GRAPHIQUE.xlsx]Q26!Tableau croisé dynamique9</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fr-FR" sz="1200" b="0" i="0" u="none" strike="noStrike" kern="1200" baseline="0">
                <a:solidFill>
                  <a:schemeClr val="tx1"/>
                </a:solidFill>
                <a:latin typeface="Calibri"/>
              </a:rPr>
              <a:t>Souhaitez-vous partager une expérience ou un avis personnel concernant l’ostéopathie dans la prise en charge du syndrome de Lacomme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'Q26'!$B$3:$B$4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'Q26'!$A$5:$A$16</c:f>
              <c:strCache>
                <c:ptCount val="11"/>
                <c:pt idx="0">
                  <c:v>Absence de connaissances sur la pratique ostéopathique (n=1)</c:v>
                </c:pt>
                <c:pt idx="1">
                  <c:v>Absence de connaissances sur le syndrome de Lacomme (n=1)</c:v>
                </c:pt>
                <c:pt idx="2">
                  <c:v>Banalisation du syndrome de Lacomme (n=1)</c:v>
                </c:pt>
                <c:pt idx="3">
                  <c:v>Collaboration interprofessionnelle (n=3)</c:v>
                </c:pt>
                <c:pt idx="4">
                  <c:v>Efficacité perçue (n=4)</c:v>
                </c:pt>
                <c:pt idx="5">
                  <c:v>Favorable à l'intégration de l'ostéopathie (n=4)</c:v>
                </c:pt>
                <c:pt idx="6">
                  <c:v>Impact des avis médicaux (n=1)</c:v>
                </c:pt>
                <c:pt idx="7">
                  <c:v>Limites des pratiques ostéopathiques (n=1)</c:v>
                </c:pt>
                <c:pt idx="8">
                  <c:v>Recommandation institutionnelle (n=2)</c:v>
                </c:pt>
                <c:pt idx="9">
                  <c:v>Soulagement temporaire (n=2)</c:v>
                </c:pt>
                <c:pt idx="10">
                  <c:v>Suivi régulier préventif (n=1)</c:v>
                </c:pt>
              </c:strCache>
            </c:strRef>
          </c:cat>
          <c:val>
            <c:numRef>
              <c:f>'Q26'!$B$5:$B$16</c:f>
              <c:numCache>
                <c:formatCode>0.0%</c:formatCode>
                <c:ptCount val="11"/>
                <c:pt idx="0">
                  <c:v>4.7619047619047616E-2</c:v>
                </c:pt>
                <c:pt idx="1">
                  <c:v>4.7619047619047616E-2</c:v>
                </c:pt>
                <c:pt idx="2">
                  <c:v>4.7619047619047616E-2</c:v>
                </c:pt>
                <c:pt idx="3">
                  <c:v>0.14285714285714285</c:v>
                </c:pt>
                <c:pt idx="4">
                  <c:v>0.19047619047619047</c:v>
                </c:pt>
                <c:pt idx="5">
                  <c:v>0.19047619047619047</c:v>
                </c:pt>
                <c:pt idx="6">
                  <c:v>4.7619047619047616E-2</c:v>
                </c:pt>
                <c:pt idx="7">
                  <c:v>4.7619047619047616E-2</c:v>
                </c:pt>
                <c:pt idx="8">
                  <c:v>9.5238095238095233E-2</c:v>
                </c:pt>
                <c:pt idx="9">
                  <c:v>9.5238095238095233E-2</c:v>
                </c:pt>
                <c:pt idx="10">
                  <c:v>4.7619047619047616E-2</c:v>
                </c:pt>
              </c:numCache>
            </c:numRef>
          </c:val>
          <c:extLst>
            <c:ext xmlns:c16="http://schemas.microsoft.com/office/drawing/2014/chart" uri="{C3380CC4-5D6E-409C-BE32-E72D297353CC}">
              <c16:uniqueId val="{00000000-9069-4819-A61F-2508C57E3952}"/>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[GRAPHIQUE.xlsx]Q27!Tableau croisé dynamique9</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Souhaitez-vous partager une expérience ou un avis personnel concernant l'ostéopathie et la collaboration avec les sages-femmes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'Q27'!$B$3:$B$4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'Q27'!$A$5:$A$19</c:f>
              <c:strCache>
                <c:ptCount val="14"/>
                <c:pt idx="0">
                  <c:v>Absence de recommandation institutionnelle  (n=2)</c:v>
                </c:pt>
                <c:pt idx="1">
                  <c:v>Allaitement (n=1)</c:v>
                </c:pt>
                <c:pt idx="2">
                  <c:v>Bénéfices subjectifs (n=1)</c:v>
                </c:pt>
                <c:pt idx="3">
                  <c:v>Collaboration interprofessionnelle (n=12)</c:v>
                </c:pt>
                <c:pt idx="4">
                  <c:v>Coût pout les patientes (n=1)</c:v>
                </c:pt>
                <c:pt idx="5">
                  <c:v>Efficacité perçue (n=6)</c:v>
                </c:pt>
                <c:pt idx="6">
                  <c:v>Favorable à l’intégration de l’ostéopathie (n=1)</c:v>
                </c:pt>
                <c:pt idx="7">
                  <c:v>Freins éthiques et scientifiques  (n=1)</c:v>
                </c:pt>
                <c:pt idx="8">
                  <c:v>Insuffisance de preuves scientifiques (n=2)</c:v>
                </c:pt>
                <c:pt idx="9">
                  <c:v>Limites institutionnelles à la mise en place de collaborations interprofessionnelles (n=1)</c:v>
                </c:pt>
                <c:pt idx="10">
                  <c:v>Manque d’informations sur les pratiques ostéopathiques en périnatalité (n=1)</c:v>
                </c:pt>
                <c:pt idx="11">
                  <c:v>Nouveaux-nés (n=3)</c:v>
                </c:pt>
                <c:pt idx="12">
                  <c:v>Présentation en siège (n=1)</c:v>
                </c:pt>
                <c:pt idx="13">
                  <c:v>Spécialisation en périnatalité (n=1)</c:v>
                </c:pt>
              </c:strCache>
            </c:strRef>
          </c:cat>
          <c:val>
            <c:numRef>
              <c:f>'Q27'!$B$5:$B$19</c:f>
              <c:numCache>
                <c:formatCode>0.0%</c:formatCode>
                <c:ptCount val="14"/>
                <c:pt idx="0">
                  <c:v>5.7142857142857141E-2</c:v>
                </c:pt>
                <c:pt idx="1">
                  <c:v>2.8571428571428571E-2</c:v>
                </c:pt>
                <c:pt idx="2">
                  <c:v>5.7142857142857141E-2</c:v>
                </c:pt>
                <c:pt idx="3">
                  <c:v>0.34285714285714286</c:v>
                </c:pt>
                <c:pt idx="4">
                  <c:v>2.8571428571428571E-2</c:v>
                </c:pt>
                <c:pt idx="5">
                  <c:v>0.17142857142857143</c:v>
                </c:pt>
                <c:pt idx="6">
                  <c:v>2.8571428571428571E-2</c:v>
                </c:pt>
                <c:pt idx="7">
                  <c:v>2.8571428571428571E-2</c:v>
                </c:pt>
                <c:pt idx="8">
                  <c:v>5.7142857142857141E-2</c:v>
                </c:pt>
                <c:pt idx="9">
                  <c:v>2.8571428571428571E-2</c:v>
                </c:pt>
                <c:pt idx="10">
                  <c:v>2.8571428571428571E-2</c:v>
                </c:pt>
                <c:pt idx="11">
                  <c:v>8.5714285714285715E-2</c:v>
                </c:pt>
                <c:pt idx="12">
                  <c:v>2.8571428571428571E-2</c:v>
                </c:pt>
                <c:pt idx="13">
                  <c:v>2.8571428571428571E-2</c:v>
                </c:pt>
              </c:numCache>
            </c:numRef>
          </c:val>
          <c:extLst>
            <c:ext xmlns:c16="http://schemas.microsoft.com/office/drawing/2014/chart" uri="{C3380CC4-5D6E-409C-BE32-E72D297353CC}">
              <c16:uniqueId val="{00000000-1AD0-4971-8839-CD77F9A33C2A}"/>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[GRAPHIQUE.xlsx]Q28!Tableau croisé dynamique9</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kern="1200" spc="0" baseline="0">
                <a:solidFill>
                  <a:schemeClr val="tx1"/>
                </a:solidFill>
              </a:rPr>
              <a:t>Y a-t-il un élément ou un commentaire supplémentaire que vous souhaitez apporter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'Q28'!$B$3:$B$4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'Q28'!$A$5:$A$16</c:f>
              <c:strCache>
                <c:ptCount val="11"/>
                <c:pt idx="0">
                  <c:v>Collaboration interprofessionnelle (n=5)</c:v>
                </c:pt>
                <c:pt idx="1">
                  <c:v>Convictions personnelles (n=1)</c:v>
                </c:pt>
                <c:pt idx="2">
                  <c:v>Coût pour les patientes  (n=2)</c:v>
                </c:pt>
                <c:pt idx="3">
                  <c:v>Difficulté d'accès à des professionnels (n=1)</c:v>
                </c:pt>
                <c:pt idx="4">
                  <c:v>Etude intéressante (n=1)</c:v>
                </c:pt>
                <c:pt idx="5">
                  <c:v>Expérience personnelle positive (n=1)</c:v>
                </c:pt>
                <c:pt idx="6">
                  <c:v>Favorable à l'intégration de l'ostéopathie   (n=5)</c:v>
                </c:pt>
                <c:pt idx="7">
                  <c:v>Insuffisance de preuves scientifiques (n=1)</c:v>
                </c:pt>
                <c:pt idx="8">
                  <c:v>Intérêt scientifique (n=1)</c:v>
                </c:pt>
                <c:pt idx="9">
                  <c:v>Non recommandation institutionnelle de l'ostéopathie (n=1)</c:v>
                </c:pt>
                <c:pt idx="10">
                  <c:v>Présence de réticences professionnelles à l'ostéopathie (n=2)</c:v>
                </c:pt>
              </c:strCache>
            </c:strRef>
          </c:cat>
          <c:val>
            <c:numRef>
              <c:f>'Q28'!$B$5:$B$16</c:f>
              <c:numCache>
                <c:formatCode>0.0%</c:formatCode>
                <c:ptCount val="11"/>
                <c:pt idx="0">
                  <c:v>0.23809523809523808</c:v>
                </c:pt>
                <c:pt idx="1">
                  <c:v>4.7619047619047616E-2</c:v>
                </c:pt>
                <c:pt idx="2">
                  <c:v>9.5238095238095233E-2</c:v>
                </c:pt>
                <c:pt idx="3">
                  <c:v>4.7619047619047616E-2</c:v>
                </c:pt>
                <c:pt idx="4">
                  <c:v>4.7619047619047616E-2</c:v>
                </c:pt>
                <c:pt idx="5">
                  <c:v>4.7619047619047616E-2</c:v>
                </c:pt>
                <c:pt idx="6">
                  <c:v>0.23809523809523808</c:v>
                </c:pt>
                <c:pt idx="7">
                  <c:v>4.7619047619047616E-2</c:v>
                </c:pt>
                <c:pt idx="8">
                  <c:v>4.7619047619047616E-2</c:v>
                </c:pt>
                <c:pt idx="9">
                  <c:v>4.7619047619047616E-2</c:v>
                </c:pt>
                <c:pt idx="10">
                  <c:v>9.5238095238095233E-2</c:v>
                </c:pt>
              </c:numCache>
            </c:numRef>
          </c:val>
          <c:extLst>
            <c:ext xmlns:c16="http://schemas.microsoft.com/office/drawing/2014/chart" uri="{C3380CC4-5D6E-409C-BE32-E72D297353CC}">
              <c16:uniqueId val="{00000000-10B8-47F4-ADC6-1B801BB623A6}"/>
            </c:ext>
          </c:extLst>
        </c:ser>
        <c:dLbls>
          <c:showLegendKey val="0"/>
          <c:showVal val="0"/>
          <c:showCatName val="0"/>
          <c:showSerName val="0"/>
          <c:showPercent val="0"/>
          <c:showBubbleSize val="0"/>
        </c:dLbls>
        <c:gapWidth val="219"/>
        <c:axId val="1686164015"/>
        <c:axId val="1687076175"/>
      </c:barChart>
      <c:catAx>
        <c:axId val="1686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7076175"/>
        <c:crosses val="autoZero"/>
        <c:auto val="1"/>
        <c:lblAlgn val="ctr"/>
        <c:lblOffset val="100"/>
        <c:noMultiLvlLbl val="0"/>
      </c:catAx>
      <c:valAx>
        <c:axId val="1687076175"/>
        <c:scaling>
          <c:orientation val="minMax"/>
          <c:max val="0.30000000000000004"/>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68616401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1</xdr:col>
      <xdr:colOff>788670</xdr:colOff>
      <xdr:row>9</xdr:row>
      <xdr:rowOff>15240</xdr:rowOff>
    </xdr:from>
    <xdr:to>
      <xdr:col>5</xdr:col>
      <xdr:colOff>400050</xdr:colOff>
      <xdr:row>26</xdr:row>
      <xdr:rowOff>9525</xdr:rowOff>
    </xdr:to>
    <xdr:graphicFrame macro="">
      <xdr:nvGraphicFramePr>
        <xdr:cNvPr id="4" name="Graphique 3">
          <a:extLst>
            <a:ext uri="{FF2B5EF4-FFF2-40B4-BE49-F238E27FC236}">
              <a16:creationId xmlns:a16="http://schemas.microsoft.com/office/drawing/2014/main" id="{A9700632-C5BD-902B-E947-33F478864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10</xdr:row>
      <xdr:rowOff>173354</xdr:rowOff>
    </xdr:from>
    <xdr:to>
      <xdr:col>6</xdr:col>
      <xdr:colOff>228600</xdr:colOff>
      <xdr:row>27</xdr:row>
      <xdr:rowOff>47624</xdr:rowOff>
    </xdr:to>
    <xdr:graphicFrame macro="">
      <xdr:nvGraphicFramePr>
        <xdr:cNvPr id="3" name="Graphique 2">
          <a:extLst>
            <a:ext uri="{FF2B5EF4-FFF2-40B4-BE49-F238E27FC236}">
              <a16:creationId xmlns:a16="http://schemas.microsoft.com/office/drawing/2014/main" id="{B8CABFB1-E49F-D74D-8513-DA9827611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1621155</xdr:colOff>
      <xdr:row>10</xdr:row>
      <xdr:rowOff>53340</xdr:rowOff>
    </xdr:from>
    <xdr:to>
      <xdr:col>5</xdr:col>
      <xdr:colOff>712470</xdr:colOff>
      <xdr:row>25</xdr:row>
      <xdr:rowOff>87630</xdr:rowOff>
    </xdr:to>
    <xdr:graphicFrame macro="">
      <xdr:nvGraphicFramePr>
        <xdr:cNvPr id="3" name="Graphique 2">
          <a:extLst>
            <a:ext uri="{FF2B5EF4-FFF2-40B4-BE49-F238E27FC236}">
              <a16:creationId xmlns:a16="http://schemas.microsoft.com/office/drawing/2014/main" id="{B41A9D8B-AFD3-FB65-F54D-D0730ED3D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3828415</xdr:colOff>
      <xdr:row>11</xdr:row>
      <xdr:rowOff>135255</xdr:rowOff>
    </xdr:from>
    <xdr:to>
      <xdr:col>7</xdr:col>
      <xdr:colOff>600075</xdr:colOff>
      <xdr:row>27</xdr:row>
      <xdr:rowOff>104775</xdr:rowOff>
    </xdr:to>
    <xdr:graphicFrame macro="">
      <xdr:nvGraphicFramePr>
        <xdr:cNvPr id="2" name="Graphique 1">
          <a:extLst>
            <a:ext uri="{FF2B5EF4-FFF2-40B4-BE49-F238E27FC236}">
              <a16:creationId xmlns:a16="http://schemas.microsoft.com/office/drawing/2014/main" id="{99447490-DB6A-62D8-5FEF-41C8660B6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3824605</xdr:colOff>
      <xdr:row>11</xdr:row>
      <xdr:rowOff>139065</xdr:rowOff>
    </xdr:from>
    <xdr:to>
      <xdr:col>6</xdr:col>
      <xdr:colOff>463550</xdr:colOff>
      <xdr:row>26</xdr:row>
      <xdr:rowOff>32385</xdr:rowOff>
    </xdr:to>
    <xdr:graphicFrame macro="">
      <xdr:nvGraphicFramePr>
        <xdr:cNvPr id="2" name="Graphique 1">
          <a:extLst>
            <a:ext uri="{FF2B5EF4-FFF2-40B4-BE49-F238E27FC236}">
              <a16:creationId xmlns:a16="http://schemas.microsoft.com/office/drawing/2014/main" id="{3DB0055F-D318-432B-A931-707FE226E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3824605</xdr:colOff>
      <xdr:row>11</xdr:row>
      <xdr:rowOff>76200</xdr:rowOff>
    </xdr:from>
    <xdr:to>
      <xdr:col>7</xdr:col>
      <xdr:colOff>358140</xdr:colOff>
      <xdr:row>26</xdr:row>
      <xdr:rowOff>32385</xdr:rowOff>
    </xdr:to>
    <xdr:graphicFrame macro="">
      <xdr:nvGraphicFramePr>
        <xdr:cNvPr id="2" name="Graphique 1">
          <a:extLst>
            <a:ext uri="{FF2B5EF4-FFF2-40B4-BE49-F238E27FC236}">
              <a16:creationId xmlns:a16="http://schemas.microsoft.com/office/drawing/2014/main" id="{FD109614-ACC7-449C-8E5F-A0FA5B94F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1939290</xdr:colOff>
      <xdr:row>10</xdr:row>
      <xdr:rowOff>20955</xdr:rowOff>
    </xdr:from>
    <xdr:to>
      <xdr:col>6</xdr:col>
      <xdr:colOff>180975</xdr:colOff>
      <xdr:row>25</xdr:row>
      <xdr:rowOff>49530</xdr:rowOff>
    </xdr:to>
    <xdr:graphicFrame macro="">
      <xdr:nvGraphicFramePr>
        <xdr:cNvPr id="3" name="Graphique 2">
          <a:extLst>
            <a:ext uri="{FF2B5EF4-FFF2-40B4-BE49-F238E27FC236}">
              <a16:creationId xmlns:a16="http://schemas.microsoft.com/office/drawing/2014/main" id="{9074B054-5B30-8FB3-B1A5-2034AB45F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287655</xdr:colOff>
      <xdr:row>10</xdr:row>
      <xdr:rowOff>173356</xdr:rowOff>
    </xdr:from>
    <xdr:to>
      <xdr:col>4</xdr:col>
      <xdr:colOff>1390650</xdr:colOff>
      <xdr:row>27</xdr:row>
      <xdr:rowOff>133351</xdr:rowOff>
    </xdr:to>
    <xdr:graphicFrame macro="">
      <xdr:nvGraphicFramePr>
        <xdr:cNvPr id="3" name="Graphique 2">
          <a:extLst>
            <a:ext uri="{FF2B5EF4-FFF2-40B4-BE49-F238E27FC236}">
              <a16:creationId xmlns:a16="http://schemas.microsoft.com/office/drawing/2014/main" id="{5D60DF08-57C2-3848-53EE-F264D9ABF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365125</xdr:colOff>
      <xdr:row>6</xdr:row>
      <xdr:rowOff>7620</xdr:rowOff>
    </xdr:from>
    <xdr:to>
      <xdr:col>13</xdr:col>
      <xdr:colOff>617220</xdr:colOff>
      <xdr:row>23</xdr:row>
      <xdr:rowOff>114300</xdr:rowOff>
    </xdr:to>
    <xdr:graphicFrame macro="">
      <xdr:nvGraphicFramePr>
        <xdr:cNvPr id="2" name="Graphique 1">
          <a:extLst>
            <a:ext uri="{FF2B5EF4-FFF2-40B4-BE49-F238E27FC236}">
              <a16:creationId xmlns:a16="http://schemas.microsoft.com/office/drawing/2014/main" id="{A3E31CB2-4828-4480-911F-3AC5F2562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761365</xdr:colOff>
      <xdr:row>2</xdr:row>
      <xdr:rowOff>167640</xdr:rowOff>
    </xdr:from>
    <xdr:to>
      <xdr:col>13</xdr:col>
      <xdr:colOff>205740</xdr:colOff>
      <xdr:row>18</xdr:row>
      <xdr:rowOff>121920</xdr:rowOff>
    </xdr:to>
    <xdr:graphicFrame macro="">
      <xdr:nvGraphicFramePr>
        <xdr:cNvPr id="2" name="Graphique 1">
          <a:extLst>
            <a:ext uri="{FF2B5EF4-FFF2-40B4-BE49-F238E27FC236}">
              <a16:creationId xmlns:a16="http://schemas.microsoft.com/office/drawing/2014/main" id="{F1C502BF-6AAD-4010-825E-9037E6FFC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3009265</xdr:colOff>
      <xdr:row>11</xdr:row>
      <xdr:rowOff>152400</xdr:rowOff>
    </xdr:from>
    <xdr:to>
      <xdr:col>8</xdr:col>
      <xdr:colOff>556260</xdr:colOff>
      <xdr:row>27</xdr:row>
      <xdr:rowOff>106680</xdr:rowOff>
    </xdr:to>
    <xdr:graphicFrame macro="">
      <xdr:nvGraphicFramePr>
        <xdr:cNvPr id="2" name="Graphique 1">
          <a:extLst>
            <a:ext uri="{FF2B5EF4-FFF2-40B4-BE49-F238E27FC236}">
              <a16:creationId xmlns:a16="http://schemas.microsoft.com/office/drawing/2014/main" id="{8D95150D-09E3-42B3-BE17-515AC8B0F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xdr:colOff>
      <xdr:row>11</xdr:row>
      <xdr:rowOff>76199</xdr:rowOff>
    </xdr:from>
    <xdr:to>
      <xdr:col>5</xdr:col>
      <xdr:colOff>523875</xdr:colOff>
      <xdr:row>30</xdr:row>
      <xdr:rowOff>171449</xdr:rowOff>
    </xdr:to>
    <xdr:graphicFrame macro="">
      <xdr:nvGraphicFramePr>
        <xdr:cNvPr id="3" name="Graphique 2">
          <a:extLst>
            <a:ext uri="{FF2B5EF4-FFF2-40B4-BE49-F238E27FC236}">
              <a16:creationId xmlns:a16="http://schemas.microsoft.com/office/drawing/2014/main" id="{487390EF-DC3A-5E82-DCAE-8C33C607A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2143126</xdr:colOff>
      <xdr:row>10</xdr:row>
      <xdr:rowOff>28575</xdr:rowOff>
    </xdr:from>
    <xdr:to>
      <xdr:col>5</xdr:col>
      <xdr:colOff>160021</xdr:colOff>
      <xdr:row>27</xdr:row>
      <xdr:rowOff>15240</xdr:rowOff>
    </xdr:to>
    <xdr:graphicFrame macro="">
      <xdr:nvGraphicFramePr>
        <xdr:cNvPr id="3" name="Graphique 2">
          <a:extLst>
            <a:ext uri="{FF2B5EF4-FFF2-40B4-BE49-F238E27FC236}">
              <a16:creationId xmlns:a16="http://schemas.microsoft.com/office/drawing/2014/main" id="{9F5B61D5-34EE-5A8B-1474-466F2EE8F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3009265</xdr:colOff>
      <xdr:row>11</xdr:row>
      <xdr:rowOff>152400</xdr:rowOff>
    </xdr:from>
    <xdr:to>
      <xdr:col>10</xdr:col>
      <xdr:colOff>373380</xdr:colOff>
      <xdr:row>27</xdr:row>
      <xdr:rowOff>106680</xdr:rowOff>
    </xdr:to>
    <xdr:graphicFrame macro="">
      <xdr:nvGraphicFramePr>
        <xdr:cNvPr id="2" name="Graphique 1">
          <a:extLst>
            <a:ext uri="{FF2B5EF4-FFF2-40B4-BE49-F238E27FC236}">
              <a16:creationId xmlns:a16="http://schemas.microsoft.com/office/drawing/2014/main" id="{50A2736F-7130-482E-9FAF-82E16156F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1426210</xdr:colOff>
      <xdr:row>13</xdr:row>
      <xdr:rowOff>160020</xdr:rowOff>
    </xdr:from>
    <xdr:to>
      <xdr:col>8</xdr:col>
      <xdr:colOff>272415</xdr:colOff>
      <xdr:row>29</xdr:row>
      <xdr:rowOff>110490</xdr:rowOff>
    </xdr:to>
    <xdr:graphicFrame macro="">
      <xdr:nvGraphicFramePr>
        <xdr:cNvPr id="2" name="Graphique 1">
          <a:extLst>
            <a:ext uri="{FF2B5EF4-FFF2-40B4-BE49-F238E27FC236}">
              <a16:creationId xmlns:a16="http://schemas.microsoft.com/office/drawing/2014/main" id="{42070D39-A2EB-4B1D-ABF5-5C3034B70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1426210</xdr:colOff>
      <xdr:row>13</xdr:row>
      <xdr:rowOff>160020</xdr:rowOff>
    </xdr:from>
    <xdr:to>
      <xdr:col>8</xdr:col>
      <xdr:colOff>272415</xdr:colOff>
      <xdr:row>29</xdr:row>
      <xdr:rowOff>110490</xdr:rowOff>
    </xdr:to>
    <xdr:graphicFrame macro="">
      <xdr:nvGraphicFramePr>
        <xdr:cNvPr id="2" name="Graphique 1">
          <a:extLst>
            <a:ext uri="{FF2B5EF4-FFF2-40B4-BE49-F238E27FC236}">
              <a16:creationId xmlns:a16="http://schemas.microsoft.com/office/drawing/2014/main" id="{8F33BE55-3B5F-4DB8-BD8A-A6D86B471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1426210</xdr:colOff>
      <xdr:row>13</xdr:row>
      <xdr:rowOff>160020</xdr:rowOff>
    </xdr:from>
    <xdr:to>
      <xdr:col>8</xdr:col>
      <xdr:colOff>272415</xdr:colOff>
      <xdr:row>29</xdr:row>
      <xdr:rowOff>110490</xdr:rowOff>
    </xdr:to>
    <xdr:graphicFrame macro="">
      <xdr:nvGraphicFramePr>
        <xdr:cNvPr id="2" name="Graphique 1">
          <a:extLst>
            <a:ext uri="{FF2B5EF4-FFF2-40B4-BE49-F238E27FC236}">
              <a16:creationId xmlns:a16="http://schemas.microsoft.com/office/drawing/2014/main" id="{340DF963-88B2-4220-B34B-A29644047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1426210</xdr:colOff>
      <xdr:row>13</xdr:row>
      <xdr:rowOff>160020</xdr:rowOff>
    </xdr:from>
    <xdr:to>
      <xdr:col>8</xdr:col>
      <xdr:colOff>272415</xdr:colOff>
      <xdr:row>29</xdr:row>
      <xdr:rowOff>110490</xdr:rowOff>
    </xdr:to>
    <xdr:graphicFrame macro="">
      <xdr:nvGraphicFramePr>
        <xdr:cNvPr id="2" name="Graphique 1">
          <a:extLst>
            <a:ext uri="{FF2B5EF4-FFF2-40B4-BE49-F238E27FC236}">
              <a16:creationId xmlns:a16="http://schemas.microsoft.com/office/drawing/2014/main" id="{11DF8873-F3F5-40AF-9EAD-980C847CF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1437640</xdr:colOff>
      <xdr:row>13</xdr:row>
      <xdr:rowOff>104775</xdr:rowOff>
    </xdr:from>
    <xdr:to>
      <xdr:col>8</xdr:col>
      <xdr:colOff>285750</xdr:colOff>
      <xdr:row>29</xdr:row>
      <xdr:rowOff>57150</xdr:rowOff>
    </xdr:to>
    <xdr:graphicFrame macro="">
      <xdr:nvGraphicFramePr>
        <xdr:cNvPr id="2" name="Graphique 1">
          <a:extLst>
            <a:ext uri="{FF2B5EF4-FFF2-40B4-BE49-F238E27FC236}">
              <a16:creationId xmlns:a16="http://schemas.microsoft.com/office/drawing/2014/main" id="{7C4FC880-1213-41F3-BE06-5B03BCA77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1437640</xdr:colOff>
      <xdr:row>13</xdr:row>
      <xdr:rowOff>104775</xdr:rowOff>
    </xdr:from>
    <xdr:to>
      <xdr:col>8</xdr:col>
      <xdr:colOff>285750</xdr:colOff>
      <xdr:row>29</xdr:row>
      <xdr:rowOff>57150</xdr:rowOff>
    </xdr:to>
    <xdr:graphicFrame macro="">
      <xdr:nvGraphicFramePr>
        <xdr:cNvPr id="2" name="Graphique 1">
          <a:extLst>
            <a:ext uri="{FF2B5EF4-FFF2-40B4-BE49-F238E27FC236}">
              <a16:creationId xmlns:a16="http://schemas.microsoft.com/office/drawing/2014/main" id="{24588600-13E1-4938-B65B-42CC58DD3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3</xdr:col>
      <xdr:colOff>22225</xdr:colOff>
      <xdr:row>3</xdr:row>
      <xdr:rowOff>449580</xdr:rowOff>
    </xdr:from>
    <xdr:to>
      <xdr:col>12</xdr:col>
      <xdr:colOff>220980</xdr:colOff>
      <xdr:row>18</xdr:row>
      <xdr:rowOff>38100</xdr:rowOff>
    </xdr:to>
    <xdr:graphicFrame macro="">
      <xdr:nvGraphicFramePr>
        <xdr:cNvPr id="2" name="Graphique 1">
          <a:extLst>
            <a:ext uri="{FF2B5EF4-FFF2-40B4-BE49-F238E27FC236}">
              <a16:creationId xmlns:a16="http://schemas.microsoft.com/office/drawing/2014/main" id="{71564948-916A-4D48-A11A-C92DEBDA7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198120</xdr:colOff>
      <xdr:row>11</xdr:row>
      <xdr:rowOff>78104</xdr:rowOff>
    </xdr:from>
    <xdr:to>
      <xdr:col>3</xdr:col>
      <xdr:colOff>887730</xdr:colOff>
      <xdr:row>27</xdr:row>
      <xdr:rowOff>80009</xdr:rowOff>
    </xdr:to>
    <xdr:graphicFrame macro="">
      <xdr:nvGraphicFramePr>
        <xdr:cNvPr id="4" name="Graphique 3">
          <a:extLst>
            <a:ext uri="{FF2B5EF4-FFF2-40B4-BE49-F238E27FC236}">
              <a16:creationId xmlns:a16="http://schemas.microsoft.com/office/drawing/2014/main" id="{992F3DC0-5930-0ABC-BA35-9504F0441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1811655</xdr:colOff>
      <xdr:row>10</xdr:row>
      <xdr:rowOff>167639</xdr:rowOff>
    </xdr:from>
    <xdr:to>
      <xdr:col>8</xdr:col>
      <xdr:colOff>314325</xdr:colOff>
      <xdr:row>26</xdr:row>
      <xdr:rowOff>47624</xdr:rowOff>
    </xdr:to>
    <xdr:graphicFrame macro="">
      <xdr:nvGraphicFramePr>
        <xdr:cNvPr id="5" name="Graphique 4">
          <a:extLst>
            <a:ext uri="{FF2B5EF4-FFF2-40B4-BE49-F238E27FC236}">
              <a16:creationId xmlns:a16="http://schemas.microsoft.com/office/drawing/2014/main" id="{BE3CF6D0-3ABA-C165-1CEB-8D2405255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22225</xdr:colOff>
      <xdr:row>3</xdr:row>
      <xdr:rowOff>449580</xdr:rowOff>
    </xdr:from>
    <xdr:to>
      <xdr:col>12</xdr:col>
      <xdr:colOff>220980</xdr:colOff>
      <xdr:row>18</xdr:row>
      <xdr:rowOff>38100</xdr:rowOff>
    </xdr:to>
    <xdr:graphicFrame macro="">
      <xdr:nvGraphicFramePr>
        <xdr:cNvPr id="2" name="Graphique 1">
          <a:extLst>
            <a:ext uri="{FF2B5EF4-FFF2-40B4-BE49-F238E27FC236}">
              <a16:creationId xmlns:a16="http://schemas.microsoft.com/office/drawing/2014/main" id="{7A97C1CD-B72D-4743-9293-2FEFEF37C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3634104</xdr:colOff>
      <xdr:row>13</xdr:row>
      <xdr:rowOff>53340</xdr:rowOff>
    </xdr:from>
    <xdr:to>
      <xdr:col>12</xdr:col>
      <xdr:colOff>87585</xdr:colOff>
      <xdr:row>29</xdr:row>
      <xdr:rowOff>14598</xdr:rowOff>
    </xdr:to>
    <xdr:graphicFrame macro="">
      <xdr:nvGraphicFramePr>
        <xdr:cNvPr id="2" name="Graphique 1">
          <a:extLst>
            <a:ext uri="{FF2B5EF4-FFF2-40B4-BE49-F238E27FC236}">
              <a16:creationId xmlns:a16="http://schemas.microsoft.com/office/drawing/2014/main" id="{7F5E11CD-1C36-4F86-B74A-13390AD33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3634105</xdr:colOff>
      <xdr:row>13</xdr:row>
      <xdr:rowOff>53340</xdr:rowOff>
    </xdr:from>
    <xdr:to>
      <xdr:col>9</xdr:col>
      <xdr:colOff>15240</xdr:colOff>
      <xdr:row>27</xdr:row>
      <xdr:rowOff>91440</xdr:rowOff>
    </xdr:to>
    <xdr:graphicFrame macro="">
      <xdr:nvGraphicFramePr>
        <xdr:cNvPr id="2" name="Graphique 1">
          <a:extLst>
            <a:ext uri="{FF2B5EF4-FFF2-40B4-BE49-F238E27FC236}">
              <a16:creationId xmlns:a16="http://schemas.microsoft.com/office/drawing/2014/main" id="{D4FA5363-4DC3-4151-A330-24507E3BD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2278381</xdr:colOff>
      <xdr:row>13</xdr:row>
      <xdr:rowOff>108414</xdr:rowOff>
    </xdr:from>
    <xdr:to>
      <xdr:col>9</xdr:col>
      <xdr:colOff>604024</xdr:colOff>
      <xdr:row>33</xdr:row>
      <xdr:rowOff>106680</xdr:rowOff>
    </xdr:to>
    <xdr:graphicFrame macro="">
      <xdr:nvGraphicFramePr>
        <xdr:cNvPr id="2" name="Graphique 1">
          <a:extLst>
            <a:ext uri="{FF2B5EF4-FFF2-40B4-BE49-F238E27FC236}">
              <a16:creationId xmlns:a16="http://schemas.microsoft.com/office/drawing/2014/main" id="{7D20F491-46C5-4B46-9357-0D5F87EE7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xdr:col>
      <xdr:colOff>2482215</xdr:colOff>
      <xdr:row>9</xdr:row>
      <xdr:rowOff>171450</xdr:rowOff>
    </xdr:from>
    <xdr:to>
      <xdr:col>4</xdr:col>
      <xdr:colOff>1598295</xdr:colOff>
      <xdr:row>25</xdr:row>
      <xdr:rowOff>19050</xdr:rowOff>
    </xdr:to>
    <xdr:graphicFrame macro="">
      <xdr:nvGraphicFramePr>
        <xdr:cNvPr id="3" name="Graphique 2">
          <a:extLst>
            <a:ext uri="{FF2B5EF4-FFF2-40B4-BE49-F238E27FC236}">
              <a16:creationId xmlns:a16="http://schemas.microsoft.com/office/drawing/2014/main" id="{17F2B74F-B28C-B8F6-FF1C-5C44DDC46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1129665</xdr:colOff>
      <xdr:row>10</xdr:row>
      <xdr:rowOff>125730</xdr:rowOff>
    </xdr:from>
    <xdr:to>
      <xdr:col>4</xdr:col>
      <xdr:colOff>1657350</xdr:colOff>
      <xdr:row>28</xdr:row>
      <xdr:rowOff>0</xdr:rowOff>
    </xdr:to>
    <xdr:graphicFrame macro="">
      <xdr:nvGraphicFramePr>
        <xdr:cNvPr id="3" name="Graphique 2">
          <a:extLst>
            <a:ext uri="{FF2B5EF4-FFF2-40B4-BE49-F238E27FC236}">
              <a16:creationId xmlns:a16="http://schemas.microsoft.com/office/drawing/2014/main" id="{B4EED050-85A2-B201-45A5-06D66297F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1802130</xdr:colOff>
      <xdr:row>11</xdr:row>
      <xdr:rowOff>38100</xdr:rowOff>
    </xdr:from>
    <xdr:to>
      <xdr:col>4</xdr:col>
      <xdr:colOff>872490</xdr:colOff>
      <xdr:row>26</xdr:row>
      <xdr:rowOff>66675</xdr:rowOff>
    </xdr:to>
    <xdr:graphicFrame macro="">
      <xdr:nvGraphicFramePr>
        <xdr:cNvPr id="3" name="Graphique 2">
          <a:extLst>
            <a:ext uri="{FF2B5EF4-FFF2-40B4-BE49-F238E27FC236}">
              <a16:creationId xmlns:a16="http://schemas.microsoft.com/office/drawing/2014/main" id="{AE5C533A-5CD5-C5FF-C91E-780F6CCEE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1943101</xdr:colOff>
      <xdr:row>14</xdr:row>
      <xdr:rowOff>38100</xdr:rowOff>
    </xdr:from>
    <xdr:to>
      <xdr:col>7</xdr:col>
      <xdr:colOff>640081</xdr:colOff>
      <xdr:row>31</xdr:row>
      <xdr:rowOff>137160</xdr:rowOff>
    </xdr:to>
    <xdr:graphicFrame macro="">
      <xdr:nvGraphicFramePr>
        <xdr:cNvPr id="2" name="Graphique 1">
          <a:extLst>
            <a:ext uri="{FF2B5EF4-FFF2-40B4-BE49-F238E27FC236}">
              <a16:creationId xmlns:a16="http://schemas.microsoft.com/office/drawing/2014/main" id="{69D05F14-09D4-4D2B-8220-CF6E4C978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685800</xdr:colOff>
      <xdr:row>3</xdr:row>
      <xdr:rowOff>495300</xdr:rowOff>
    </xdr:from>
    <xdr:to>
      <xdr:col>14</xdr:col>
      <xdr:colOff>190500</xdr:colOff>
      <xdr:row>21</xdr:row>
      <xdr:rowOff>45720</xdr:rowOff>
    </xdr:to>
    <xdr:graphicFrame macro="">
      <xdr:nvGraphicFramePr>
        <xdr:cNvPr id="6" name="Graphique 1">
          <a:extLst>
            <a:ext uri="{FF2B5EF4-FFF2-40B4-BE49-F238E27FC236}">
              <a16:creationId xmlns:a16="http://schemas.microsoft.com/office/drawing/2014/main" id="{4944B913-82CE-43E1-8BF2-6BC592160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487680</xdr:colOff>
      <xdr:row>21</xdr:row>
      <xdr:rowOff>53340</xdr:rowOff>
    </xdr:from>
    <xdr:to>
      <xdr:col>9</xdr:col>
      <xdr:colOff>266700</xdr:colOff>
      <xdr:row>40</xdr:row>
      <xdr:rowOff>30480</xdr:rowOff>
    </xdr:to>
    <xdr:graphicFrame macro="">
      <xdr:nvGraphicFramePr>
        <xdr:cNvPr id="8" name="Graphique 1">
          <a:extLst>
            <a:ext uri="{FF2B5EF4-FFF2-40B4-BE49-F238E27FC236}">
              <a16:creationId xmlns:a16="http://schemas.microsoft.com/office/drawing/2014/main" id="{1E3E0182-1D96-4980-817C-B06D39CAF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1363980</xdr:colOff>
      <xdr:row>17</xdr:row>
      <xdr:rowOff>129540</xdr:rowOff>
    </xdr:from>
    <xdr:to>
      <xdr:col>10</xdr:col>
      <xdr:colOff>403860</xdr:colOff>
      <xdr:row>36</xdr:row>
      <xdr:rowOff>106680</xdr:rowOff>
    </xdr:to>
    <xdr:graphicFrame macro="">
      <xdr:nvGraphicFramePr>
        <xdr:cNvPr id="2" name="Graphique 1">
          <a:extLst>
            <a:ext uri="{FF2B5EF4-FFF2-40B4-BE49-F238E27FC236}">
              <a16:creationId xmlns:a16="http://schemas.microsoft.com/office/drawing/2014/main" id="{A363A84D-47E4-406C-8748-932A11F49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29.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31.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32.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33.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F0E2D163-14C8-45CC-B346-2C15EDF2568B}">
  <cacheSource type="worksheet">
    <worksheetSource ref="B1:B1048576" sheet="Feuil1"/>
  </cacheSource>
  <cacheFields count="1">
    <cacheField name="Si vous avez coché sage-femme diplômé(e), depuis combien de temps exercez-vous ?" numFmtId="0">
      <sharedItems containsNonDate="0" containsString="0" containsBlank="1" containsNumber="1" containsInteger="1" minValue="0" maxValue="0" count="2">
        <n v="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944CFBA9-8227-4793-954A-B8A2736C5EEA}">
  <cacheSource type="worksheet">
    <worksheetSource ref="G1:G1048576" sheet="Feuil1"/>
  </cacheSource>
  <cacheFields count="1">
    <cacheField name="Avez-vous accès, au sein de votre structure, à un réseau d’ostéopathes vers lesquels orienter vos patientes ?"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E2F1D76F-2B70-4467-AB06-1C5435D19223}">
  <cacheSource type="worksheet">
    <worksheetSource ref="H1:H1048576" sheet="Feuil1"/>
  </cacheSource>
  <cacheFields count="1">
    <cacheField name="La collaboration avec un(e) ostéopathe fait-elle partie intégrante de votre pratique ?"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EEE85572-7A36-4B8F-A65E-0C4636FE916C}">
  <cacheSource type="worksheet">
    <worksheetSource ref="L1:L1048576" sheet="Feuil1"/>
  </cacheSource>
  <cacheFields count="1">
    <cacheField name="A quelle fréquence rencontrez-vous des patientes présentant un syndrome de Lacomme ?" numFmtId="0">
      <sharedItems containsNonDate="0" containsString="0" containsBlank="1" containsNumber="1" containsInteger="1" minValue="0" maxValue="0" count="2">
        <n v="0"/>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51258712-7787-4FA3-A1D2-9D259CDA1E63}">
  <cacheSource type="worksheet">
    <worksheetSource ref="M1:M1048576" sheet="Feuil1"/>
  </cacheSource>
  <cacheFields count="1">
    <cacheField name="Estimez-vous qu’il y a un retard diagnostic à la prise en charge de ce syndrome ?"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5E8F5973-FE3C-4B3B-BDD1-B79C7BA96C73}">
  <cacheSource type="worksheet">
    <worksheetSource ref="AA1:AA1048576" sheet="Feuil1"/>
  </cacheSource>
  <cacheFields count="1">
    <cacheField name="Les recommandations officielles (HAS, CNGOF, Ordre des sages-femmes) influencent-elles votre décision d’orienter vers l’ostéopathie ?" numFmtId="0">
      <sharedItems containsNonDate="0" containsString="0" containsBlank="1" containsNumber="1" containsInteger="1" minValue="0" maxValue="0" count="2">
        <n v="0"/>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7B531CAE-0849-4E5D-A99E-926F0017ADB7}">
  <cacheSource type="worksheet">
    <worksheetSource ref="AB1:AB1048576" sheet="Feuil1"/>
  </cacheSource>
  <cacheFields count="1">
    <cacheField name="Pensez-vous que la collaboration entre sages-femmes et ostéopathes pourrait améliorer la prise en charge des femmes enceintes ?"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E8AB975C-4C8F-4B55-A79C-F8F2D4B19F3F}">
  <cacheSource type="worksheet">
    <worksheetSource ref="AC1:AC1048576" sheet="Feuil1"/>
  </cacheSource>
  <cacheFields count="1">
    <cacheField name="Seriez-vous favorable à l’intégration d’ostéopathes dans les équipes pluridisciplinaires périnatales ?"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e DEDENON" refreshedDate="46055.825615393522" createdVersion="8" refreshedVersion="8" recordCount="152" xr:uid="{857B7D6E-AAC0-429F-964B-D3322F854CD3}">
  <cacheSource type="worksheet">
    <worksheetSource ref="A1:A1048576" sheet="Feuil1"/>
  </cacheSource>
  <cacheFields count="1">
    <cacheField name="Êtes-vous" numFmtId="0">
      <sharedItems containsBlank="1" count="3">
        <s v="Étudiant(e) sage-femme en 5e année"/>
        <s v="Sage-femme diplômé(e)"/>
        <m/>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e DEDENON" refreshedDate="46055.843022800924" createdVersion="8" refreshedVersion="8" recordCount="152" xr:uid="{19BF724F-DA67-44BC-8D13-864F105D80BF}">
  <cacheSource type="worksheet">
    <worksheetSource ref="C1:C1048576" sheet="Feuil1"/>
  </cacheSource>
  <cacheFields count="1">
    <cacheField name="Dans quelle structure exercez-vous ?" numFmtId="0">
      <sharedItems containsBlank="1" containsMixedTypes="1" containsNumber="1" containsInteger="1" minValue="0" maxValue="0" count="5">
        <n v="0"/>
        <s v="Mixte"/>
        <s v="Hospitalier"/>
        <s v="Libéral"/>
        <m/>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FRANCK - KS construction" refreshedDate="46055.93255902778" createdVersion="8" refreshedVersion="8" recordCount="152" xr:uid="{464F14E4-B3EA-4FB3-A189-A35AF25007ED}">
  <cacheSource type="worksheet">
    <worksheetSource ref="X1:X1048576" sheet="Feuil1"/>
  </cacheSource>
  <cacheFields count="1">
    <cacheField name="Si oui, à quel moment ?" numFmtId="0">
      <sharedItems containsBlank="1" containsMixedTypes="1" containsNumber="1" containsInteger="1" minValue="0" maxValue="0" count="7">
        <s v="Dès les premiers symptômes"/>
        <s v="En cas d’absence de réussite d’autres prises en charge"/>
        <n v="0"/>
        <s v="Prise en charge prénatale et post-partum"/>
        <s v="En fin de grossesse"/>
        <s v="En post-partum"/>
        <m/>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38940856484" createdVersion="8" refreshedVersion="8" minRefreshableVersion="3" recordCount="6" xr:uid="{D3DE6CC1-42CF-42E9-850E-EE997D0C4758}">
  <cacheSource type="worksheet">
    <worksheetSource ref="F1:G7" sheet="TQ20"/>
  </cacheSource>
  <cacheFields count="2">
    <cacheField name="Quels sont, selon vous, les freins à l’intégration de l’ostéopathie dans la pratique sage-femme ?" numFmtId="0">
      <sharedItems count="6">
        <s v="Peu de contenus pédagogiques sur les principes ostéopathiques inscrits au parcours académique (n=74)"/>
        <s v="Absence de connaissances sur la pratique ostéopathique (n=72)"/>
        <s v="Insuffisance de preuves scientifiques (n=73)"/>
        <s v="Insuffisance de collaboration interprofessionnelle avec des ostéopathes (n=62)"/>
        <s v="Coût pour les patientes (n=100)"/>
        <s v="Absence de reconnaissance institutionnelle (n=72)"/>
      </sharedItems>
    </cacheField>
    <cacheField name="%" numFmtId="164">
      <sharedItems containsSemiMixedTypes="0" containsString="0" containsNumber="1" minValue="0.13686534216335541" maxValue="0.22075055187637968"/>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52890393522" createdVersion="8" refreshedVersion="8" minRefreshableVersion="3" recordCount="10" xr:uid="{3F7C15C5-3D6D-4074-BA20-3EA734F33E5E}">
  <cacheSource type="worksheet">
    <worksheetSource ref="F1:G11" sheet="TQ21"/>
  </cacheSource>
  <cacheFields count="2">
    <cacheField name="Quels sont les facteurs qui influencent votre décision de recommander ou non l’ostéopathie ?" numFmtId="0">
      <sharedItems count="10">
        <s v="Caractère chronique ou aigu des douleurs (n=72)"/>
        <s v="Réponse ou non aux autres traitements (n=59)"/>
        <s v="Spécialisation de l’ostéopathe en périnatalité (n=83)"/>
        <s v="Motivation des patientes pour une prise en charge manuelle complémentaire (n=97)"/>
        <s v="Moment de la douleur (n=11)"/>
        <s v="Disponibilité et/ou accessibilité d’ostéopathes dans votre réseau (n=54)"/>
        <s v="Collaboration interprofessionnelle préexistante (n=45)"/>
        <s v="Convictions personnelles concernant cette approche thérapeutique (n=64)"/>
        <s v="Expérience personnelle antérieure positive ou négative avec l’ostéopathie (n=49)"/>
        <s v="Coût pour les patientes (n=4)"/>
      </sharedItems>
    </cacheField>
    <cacheField name="%" numFmtId="164">
      <sharedItems containsSemiMixedTypes="0" containsString="0" containsNumber="1" minValue="7.4349442379182153E-3" maxValue="0.18029739776951673"/>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59487152775" createdVersion="8" refreshedVersion="8" minRefreshableVersion="3" recordCount="7" xr:uid="{C4BEB547-D5F1-457B-8A8B-D4AA2361F5DD}">
  <cacheSource type="worksheet">
    <worksheetSource ref="F1:G8" sheet="TQ25"/>
  </cacheSource>
  <cacheFields count="2">
    <cacheField name="Quels éléments pourraient favoriser une meilleure collaboration entre sages-femmes et ostéopathes ?" numFmtId="0">
      <sharedItems count="7">
        <s v="Preuves de résultats positifs des traitements ostéopathiques (n=104)"/>
        <s v="Demande des patientes (n=68)"/>
        <s v="Formations sémiologiques supplémentaires des ostéopathes (n=39)"/>
        <s v="Recommandations par d’autres professionnels de santé (n=36)"/>
        <s v="Absence ou inefficacité d’autres solutions thérapeutiques (n=16)"/>
        <s v="Mise en place de protocoles règlementés (n=79)"/>
        <s v=" Encadrement institutionnel et recommandations officielles (n=104)"/>
      </sharedItems>
    </cacheField>
    <cacheField name="%" numFmtId="164">
      <sharedItems containsSemiMixedTypes="0" containsString="0" containsNumber="1" minValue="3.5874439461883408E-2" maxValue="0.23318385650224216"/>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e DEDENON" refreshedDate="46056.862600578701" createdVersion="8" refreshedVersion="8" minRefreshableVersion="3" recordCount="11" xr:uid="{7798607E-3967-4409-85D0-3E843F22A64B}">
  <cacheSource type="worksheet">
    <worksheetSource ref="F1:G12" sheet="TQ28"/>
  </cacheSource>
  <cacheFields count="2">
    <cacheField name="Y a-t-il un élément ou un commentaire supplémentaire que vous souhaiteriez apporter ?" numFmtId="0">
      <sharedItems count="11">
        <s v="Présence de réticences professionnelles à l'ostéopathie (n=2)"/>
        <s v="Intérêt scientifique (n=1)"/>
        <s v="Etude intéressante (n=1)"/>
        <s v="Insuffisance de preuves scientifiques (n=1)"/>
        <s v="Non recommandation institutionnelle de l'ostéopathie (n=1)"/>
        <s v="Convictions personnelles (n=1)"/>
        <s v="Collaboration interprofessionnelle (n=5)"/>
        <s v="Favorable à l'intégration de l'ostéopathie   (n=5)"/>
        <s v="Coût pour les patientes  (n=2)"/>
        <s v="Expérience personnelle positive (n=1)"/>
        <s v="Difficulté d'accès à des professionnels (n=1)"/>
      </sharedItems>
    </cacheField>
    <cacheField name="%" numFmtId="164">
      <sharedItems containsSemiMixedTypes="0" containsString="0" containsNumber="1" minValue="4.7619047619047616E-2" maxValue="0.23809523809523808"/>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e DEDENON" refreshedDate="46056.86427233796" createdVersion="8" refreshedVersion="8" minRefreshableVersion="3" recordCount="15" xr:uid="{38C967DA-F908-4900-B40E-F5A93570AB4D}">
  <cacheSource type="worksheet">
    <worksheetSource ref="F1:G16" sheet="TQ27"/>
  </cacheSource>
  <cacheFields count="2">
    <cacheField name="Souhaitez-vous partager une expérience ou un avis personnel concernant l’ostéopathie et la collaboration avec les sages-femmes ?" numFmtId="0">
      <sharedItems count="14">
        <s v="Favorable à l’intégration de l’ostéopathie (n=1)"/>
        <s v="Collaboration interprofessionnelle (n=12)"/>
        <s v="Spécialisation en périnatalité (n=1)"/>
        <s v="Bénéfices subjectifs (n=1)"/>
        <s v="Insuffisance de preuves scientifiques (n=2)"/>
        <s v="Coût pout les patientes (n=1)"/>
        <s v="Freins éthiques et scientifiques  (n=1)"/>
        <s v="Limites institutionnelles à la mise en place de collaborations interprofessionnelles (n=1)"/>
        <s v="Efficacité perçue (n=6)"/>
        <s v="Présentation en siège (n=1)"/>
        <s v="Allaitement (n=1)"/>
        <s v="Nouveaux-nés (n=3)"/>
        <s v="Absence de recommandation institutionnelle  (n=2)"/>
        <s v="Manque d’informations sur les pratiques ostéopathiques en périnatalité (n=1)"/>
      </sharedItems>
    </cacheField>
    <cacheField name="%" numFmtId="164">
      <sharedItems containsSemiMixedTypes="0" containsString="0" containsNumber="1" minValue="2.8571428571428571E-2" maxValue="0.34285714285714286"/>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68854976849" createdVersion="8" refreshedVersion="8" minRefreshableVersion="3" recordCount="11" xr:uid="{F6176A3D-0CF4-4404-93A3-948253A1E220}">
  <cacheSource type="worksheet">
    <worksheetSource ref="F1:G12" sheet="TQ26"/>
  </cacheSource>
  <cacheFields count="2">
    <cacheField name="Souhaitez-vous partager une expérience ou un avis personnel concernant l’ostéopathie dans la prise en charge du syndrome de Lacomme ?" numFmtId="0">
      <sharedItems count="11">
        <s v="Banalisation du syndrome de Lacomme (n=1)"/>
        <s v="Absence de connaissances sur le syndrome de Lacomme (n=1)"/>
        <s v="Efficacité perçue (n=4)"/>
        <s v="Soulagement temporaire (n=2)"/>
        <s v="Limites des pratiques ostéopathiques (n=1)"/>
        <s v="Collaboration interprofessionnelle (n=3)"/>
        <s v="Suivi régulier préventif (n=1)"/>
        <s v="Recommandation institutionnelle (n=2)"/>
        <s v="Favorable à l'intégration de l'ostéopathie (n=4)"/>
        <s v="Impact des avis médicaux (n=1)"/>
        <s v="Absence de connaissances sur la pratique ostéopathique (n=1)"/>
      </sharedItems>
    </cacheField>
    <cacheField name="%" numFmtId="164">
      <sharedItems containsSemiMixedTypes="0" containsString="0" containsNumber="1" minValue="4.7619047619047616E-2" maxValue="0.19047619047619047"/>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81670138886" createdVersion="8" refreshedVersion="8" minRefreshableVersion="3" recordCount="7" xr:uid="{D842BEF7-06C4-4BAD-A4F0-83F656A01983}">
  <cacheSource type="worksheet">
    <worksheetSource ref="F1:G8" sheet="TQ19"/>
  </cacheSource>
  <cacheFields count="2">
    <cacheField name="Quels sont les facteurs qui permettraient de favoriser l’intégration de l’ostéopathie dans la prise en charge du syndrome de Lacomme ?" numFmtId="0">
      <sharedItems count="7">
        <s v="Contenus pédagogiques sur les principes ostéopathiques inscrits au parcours académique (n=85)"/>
        <s v="Retours de patientes (n=50)"/>
        <s v="Preuves scientifiques (n=95)"/>
        <s v="Médiatisation/Réseaux sociaux (n=24)"/>
        <s v="Réduction du coût des séances pour les patientes (n=95)"/>
        <s v="Reconnaissance institutionnelle (n=83)"/>
        <s v="Intégration de l’ostéopathie dans les structures de santé (n=86)"/>
      </sharedItems>
    </cacheField>
    <cacheField name="%" numFmtId="164">
      <sharedItems containsSemiMixedTypes="0" containsString="0" containsNumber="1" minValue="4.633204633204633E-2" maxValue="0.18339768339768339"/>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84094444446" createdVersion="8" refreshedVersion="8" minRefreshableVersion="3" recordCount="5" xr:uid="{7AE38DFC-65ED-4E16-BA8F-273846FE1542}">
  <cacheSource type="worksheet">
    <worksheetSource ref="F1:G6" sheet="TQ18"/>
  </cacheSource>
  <cacheFields count="2">
    <cacheField name="Pensez-vous que les patientes sont suffisamment informées sur les possibilités de prises en charge ostéopathiques du syndrome de Lacomme ?" numFmtId="0">
      <sharedItems count="5">
        <s v="1 = Non, pas du tout  (n=45)"/>
        <s v="2 = Plutôt non  (n=62)"/>
        <s v="3 = Moyennement   (n=31)"/>
        <s v="4 = Plutôt oui  (n=12)"/>
        <s v="5 = Oui, tout à fait   (n=1)"/>
      </sharedItems>
    </cacheField>
    <cacheField name="%" numFmtId="164">
      <sharedItems containsSemiMixedTypes="0" containsString="0" containsNumber="1" minValue="6.6225165562913907E-3" maxValue="0.41059602649006621"/>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86808449075" createdVersion="8" refreshedVersion="8" minRefreshableVersion="3" recordCount="5" xr:uid="{713A408C-4462-4E2F-B8D6-D3EA072FE1AE}">
  <cacheSource type="worksheet">
    <worksheetSource ref="F1:G6" sheet="TQ16"/>
  </cacheSource>
  <cacheFields count="2">
    <cacheField name="Pensez-vous que l'ostéopathie constitue une approche pertinente pour traiter le syndrome de Lacomme et qu’elle mérite d’être recommandée aux patientes concernées ?" numFmtId="0">
      <sharedItems count="5">
        <s v="1 = Non, pas du tout  (n=3)"/>
        <s v="2 = Plutôt non  (n=5)"/>
        <s v="3 = Moyennement  (n=18)"/>
        <s v="4 = Plutôt oui   (n=64)"/>
        <s v="5 = Oui, tout à fait (n=61)"/>
      </sharedItems>
    </cacheField>
    <cacheField name="%" numFmtId="164">
      <sharedItems containsSemiMixedTypes="0" containsString="0" containsNumber="1" minValue="1.9867549668874173E-2" maxValue="0.42384105960264901"/>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88975925925" createdVersion="8" refreshedVersion="8" minRefreshableVersion="3" recordCount="5" xr:uid="{DFF98C2C-3F51-4994-BDFA-628746E9CDF2}">
  <cacheSource type="worksheet">
    <worksheetSource ref="F1:G6" sheet="TQ10"/>
  </cacheSource>
  <cacheFields count="2">
    <cacheField name="Comment estimez-vous vos connaissances concernant le syndrome de Lacomme (douleurs ligamentaires lombo-pelviennes de grossesse) ?" numFmtId="0">
      <sharedItems count="5">
        <s v="1 = Aucunes connaissances (n=5)"/>
        <s v="2 = Peu de connaissances (n=33)"/>
        <s v="3 = Connaissances générales  (n=52)"/>
        <s v="4 = Bonnes connaissances (n=50)"/>
        <s v="5 = Très bonnes connaissances (n=11)"/>
      </sharedItems>
    </cacheField>
    <cacheField name="%" numFmtId="164">
      <sharedItems containsSemiMixedTypes="0" containsString="0" containsNumber="1" minValue="3.3112582781456956E-2" maxValue="0.3443708609271523"/>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90712499997" createdVersion="8" refreshedVersion="8" minRefreshableVersion="3" recordCount="5" xr:uid="{79C0F542-4E9D-4107-89FA-7B2F7372C82E}">
  <cacheSource type="worksheet">
    <worksheetSource ref="F1:G6" sheet="TQ11"/>
  </cacheSource>
  <cacheFields count="2">
    <cacheField name="Comment identifiez-vous ce syndrome dans votre pratique ?" numFmtId="0">
      <sharedItems count="5">
        <s v="Interrogatoire  (n=143)"/>
        <s v="Examen clinique  (n=89)"/>
        <s v=" Recours aux examens complémentaires (n=2)"/>
        <s v="En excluant d’autres causes possibles de douleurs pelviennes pendant la grossesse (n=105)"/>
        <s v="Démarche de la patiente  (n=1)"/>
      </sharedItems>
    </cacheField>
    <cacheField name="%" numFmtId="164">
      <sharedItems containsSemiMixedTypes="0" containsString="0" containsNumber="1" minValue="2.9411764705882353E-3" maxValue="0.42058823529411765"/>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93852777779" createdVersion="8" refreshedVersion="8" minRefreshableVersion="3" recordCount="5" xr:uid="{3976A60E-D672-42E7-AFEC-05B264FC7427}">
  <cacheSource type="worksheet">
    <worksheetSource ref="F1:G6" sheet="TQ4"/>
  </cacheSource>
  <cacheFields count="2">
    <cacheField name="Sur une échelle de 1 à 5, comment évalueriez-vous votre niveau de connaissance de l’ostéopathie ?" numFmtId="0">
      <sharedItems count="5">
        <s v="1 = Aucune connaissance (n=22)"/>
        <s v="2 = Peu de connaissances (n=53)"/>
        <s v="3 = Connaissances générales  (n=45)"/>
        <s v="4 = Bonnes connaissances (n=28)"/>
        <s v="5 = Très bonnes connaissances (n=3)"/>
      </sharedItems>
    </cacheField>
    <cacheField name="%" numFmtId="164">
      <sharedItems containsSemiMixedTypes="0" containsString="0" containsNumber="1" minValue="1.9867549668874173E-2" maxValue="0.35099337748344372"/>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896033101853" createdVersion="8" refreshedVersion="8" minRefreshableVersion="3" recordCount="5" xr:uid="{D7D04A8D-E038-43DE-B095-371161472F56}">
  <cacheSource type="worksheet">
    <worksheetSource ref="F1:G6" sheet="TQ5"/>
  </cacheSource>
  <cacheFields count="2">
    <cacheField name="Quelle est selon vous, la place de l’ostéopathie dans la prise en charge globale de la femme enceinte ?" numFmtId="0">
      <sharedItems count="5">
        <s v="1 = Sans intérêt  (n=3)"/>
        <s v="2 = Peu utile  (n=9)"/>
        <s v="3 = Utilité modérée   (n=41)"/>
        <s v="4 = Utile   (n=60)"/>
        <s v="5 = Très utile  (n=38)"/>
      </sharedItems>
    </cacheField>
    <cacheField name="%" numFmtId="164">
      <sharedItems containsSemiMixedTypes="0" containsString="0" containsNumber="1" minValue="1.9867549668874173E-2" maxValue="0.39735099337748342"/>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901373611108" createdVersion="8" refreshedVersion="8" minRefreshableVersion="3" recordCount="5" xr:uid="{6D3A2939-C649-4876-BC20-2C811F84EF4A}">
  <cacheSource type="worksheet">
    <worksheetSource ref="F1:G6" sheet="TQ6"/>
  </cacheSource>
  <cacheFields count="2">
    <cacheField name="Vous sentez-vous suffisamment informé(e) sur l’ostéopathie et ses indications durant la grossesse ?" numFmtId="0">
      <sharedItems count="5">
        <s v="1 = Non pas du tout  (n=26)"/>
        <s v="2 = Plutôt non (n=42)"/>
        <s v="3 = Moyennement  (n=37)"/>
        <s v="4 = Plutôt oui  (n=40)"/>
        <s v="5 = Oui tout à fait  (n=6)"/>
      </sharedItems>
    </cacheField>
    <cacheField name="%" numFmtId="164">
      <sharedItems containsSemiMixedTypes="0" containsString="0" containsNumber="1" minValue="3.9735099337748346E-2" maxValue="0.27814569536423839"/>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902708680558" createdVersion="8" refreshedVersion="8" minRefreshableVersion="3" recordCount="9" xr:uid="{DAF08879-ECD4-4C46-88C3-9829326F102F}">
  <cacheSource type="worksheet">
    <worksheetSource ref="F1:G10" sheet="TQ9"/>
  </cacheSource>
  <cacheFields count="2">
    <cacheField name="Si oui, dans quel(s) cadre(s) ?" numFmtId="0">
      <sharedItems count="9">
        <s v="Suivi prénatal de grossesse (n=51)"/>
        <s v="Préparation à l'accouchement  (n=21)"/>
        <s v="Douleurs lombaires et/ou pelviennes  (n=97)"/>
        <s v="Troubles digestifs associés (n=21)"/>
        <s v="Post-partum (n=85)"/>
        <s v="Fertilité (n=11)"/>
        <s v="Allaitement (n=20)"/>
        <s v="Sphère émotionnelle  (n=10)"/>
        <s v="Nouveau-né (n=4)"/>
      </sharedItems>
    </cacheField>
    <cacheField name="%" numFmtId="164">
      <sharedItems containsSemiMixedTypes="0" containsString="0" containsNumber="1" minValue="1.2500000000000001E-2" maxValue="0.30312499999999998"/>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6.908681365741" createdVersion="8" refreshedVersion="8" minRefreshableVersion="3" recordCount="6" xr:uid="{45E29577-E46A-489C-B706-5DBA9D4ADAE8}">
  <cacheSource type="worksheet">
    <worksheetSource ref="F1:G7" sheet="TQ14"/>
  </cacheSource>
  <cacheFields count="2">
    <cacheField name="Si oui, quelles sont les principales raisons de ce retard diagnostic ?" numFmtId="0">
      <sharedItems count="5">
        <s v="Absence de recommandations professionnelles claires (n=63)"/>
        <s v="Assimilation du syndrome à des lombalgies non spécifiques (n=54)"/>
        <s v="Sous-estimation des plaintes des patientes (n=58)"/>
        <s v="Difficultés d’accès aux thérapies non médicamenteuses (n=31)"/>
        <s v="Insuffisance d'examen clinique spécifique  (n=1)"/>
      </sharedItems>
    </cacheField>
    <cacheField name="%" numFmtId="164">
      <sharedItems containsSemiMixedTypes="0" containsString="0" containsNumber="1" minValue="3.7037037037037038E-3" maxValue="0.23333333333333334"/>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233796296" createdVersion="8" refreshedVersion="8" minRefreshableVersion="3" recordCount="6" xr:uid="{51D35567-CF35-4EE8-AA71-83E0F9C6FB1E}">
  <cacheSource type="worksheet">
    <worksheetSource ref="AI1:AJ7" sheet="TQ15"/>
  </cacheSource>
  <cacheFields count="2">
    <cacheField name="Classez les différentes prises en charge dans l’ordre que vous recommanderiez pour une patiente atteinte du syndrome de Lacomme : [Sixième choix ]" numFmtId="0">
      <sharedItems count="6">
        <s v="Exercices/Etirements (n=4)"/>
        <s v="Ceinture de maintien/Support pelvien (n=6)"/>
        <s v="Traitements médicamenteux (antalgiques/analgésiques) (n=30)"/>
        <s v="Conseils posturaux (n=8)"/>
        <s v="Ostéopathie (n=9)"/>
        <s v="Repos/Limitation de mouvement (n=73)"/>
      </sharedItems>
    </cacheField>
    <cacheField name="%" numFmtId="164">
      <sharedItems containsSemiMixedTypes="0" containsString="0" containsNumber="1" minValue="3.0769230769230771E-2" maxValue="0.56153846153846154"/>
    </cacheField>
  </cacheFields>
  <extLst>
    <ext xmlns:x14="http://schemas.microsoft.com/office/spreadsheetml/2009/9/main" uri="{725AE2AE-9491-48be-B2B4-4EB974FC3084}">
      <x14:pivotCacheDefinition/>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4701041664" createdVersion="8" refreshedVersion="8" minRefreshableVersion="3" recordCount="6" xr:uid="{FA153C16-BF28-4BD2-AECB-2D6DF1FE1EB9}">
  <cacheSource type="worksheet">
    <worksheetSource ref="AD1:AE7" sheet="TQ15"/>
  </cacheSource>
  <cacheFields count="2">
    <cacheField name="Classez les différentes prises en charge dans l’ordre que vous recommanderiez pour une patiente atteinte du syndrome de Lacomme : [Cinquième choix ]" numFmtId="0">
      <sharedItems count="6">
        <s v="Exercices/Etirements (n=12)"/>
        <s v="Ceinture de maintien/Support pelvien (n=21)"/>
        <s v="Traitements médicamenteux (antalgiques/analgésiques) (n=41)"/>
        <s v="Conseils posturaux (n=15)"/>
        <s v="Ostéopathie (n=14)"/>
        <s v="Repos/Limitation de mouvement (n=27)"/>
      </sharedItems>
    </cacheField>
    <cacheField name="%" numFmtId="164">
      <sharedItems containsSemiMixedTypes="0" containsString="0" containsNumber="1" minValue="9.2307692307692313E-2" maxValue="0.31538461538461537"/>
    </cacheField>
  </cacheFields>
  <extLst>
    <ext xmlns:x14="http://schemas.microsoft.com/office/spreadsheetml/2009/9/main" uri="{725AE2AE-9491-48be-B2B4-4EB974FC3084}">
      <x14:pivotCacheDefinition/>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5315162034" createdVersion="8" refreshedVersion="8" minRefreshableVersion="3" recordCount="6" xr:uid="{BFDEBCB8-6855-4586-B27D-5B356B60FECC}">
  <cacheSource type="worksheet">
    <worksheetSource ref="Y1:Z7" sheet="TQ15"/>
  </cacheSource>
  <cacheFields count="2">
    <cacheField name="Classez les différentes prises en charge dans l’ordre que vous recommanderiez pour une patiente atteinte du syndrome de Lacomme : [Quatrième choix ]" numFmtId="0">
      <sharedItems count="6">
        <s v="Exercices/Etirements (n=18)"/>
        <s v="Ceinture de maintien/Support pelvien (n=30)"/>
        <s v="Traitements médicamenteux (antalgiques/analgésiques) (n=31)"/>
        <s v="Conseils posturaux (n=17)"/>
        <s v="Ostéopathie (n=23)"/>
        <s v="Repos/Limitation de mouvement (n=11)"/>
      </sharedItems>
    </cacheField>
    <cacheField name="%" numFmtId="164">
      <sharedItems containsSemiMixedTypes="0" containsString="0" containsNumber="1" minValue="8.461538461538462E-2" maxValue="0.23846153846153847"/>
    </cacheField>
  </cacheFields>
  <extLst>
    <ext xmlns:x14="http://schemas.microsoft.com/office/spreadsheetml/2009/9/main" uri="{725AE2AE-9491-48be-B2B4-4EB974FC3084}">
      <x14:pivotCacheDefinition/>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6123379626" createdVersion="8" refreshedVersion="8" minRefreshableVersion="3" recordCount="6" xr:uid="{7A6D76E5-EED0-47DC-98A6-7A943809EE49}">
  <cacheSource type="worksheet">
    <worksheetSource ref="T1:U7" sheet="TQ15"/>
  </cacheSource>
  <cacheFields count="2">
    <cacheField name="Classez les différentes prises en charge dans l’ordre que vous recommanderiez pour une patiente atteinte du syndrome de Lacomme : [Troisième choix ]" numFmtId="0">
      <sharedItems count="6">
        <s v="Exercices/Etirements (n=30)"/>
        <s v="Ceinture de maintien/Support pelvien (n=26)"/>
        <s v="Traitements médicamenteux (antalgiques/analgésiques) (n=9)"/>
        <s v="Conseils posturaux (n=27)"/>
        <s v="Ostéopathie (n=32)"/>
        <s v="Repos/Limitation de mouvement (n=6)"/>
      </sharedItems>
    </cacheField>
    <cacheField name="%" numFmtId="164">
      <sharedItems containsSemiMixedTypes="0" containsString="0" containsNumber="1" minValue="4.6153846153846156E-2" maxValue="0.24615384615384617"/>
    </cacheField>
  </cacheFields>
  <extLst>
    <ext xmlns:x14="http://schemas.microsoft.com/office/spreadsheetml/2009/9/main" uri="{725AE2AE-9491-48be-B2B4-4EB974FC3084}">
      <x14:pivotCacheDefinition/>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6823958331" createdVersion="8" refreshedVersion="8" minRefreshableVersion="3" recordCount="6" xr:uid="{DBDAB695-4DD6-4F9A-8D2B-684146B7BB75}">
  <cacheSource type="worksheet">
    <worksheetSource ref="O1:P7" sheet="TQ15"/>
  </cacheSource>
  <cacheFields count="2">
    <cacheField name="Classez les différentes prises en charge dans l’ordre que vous recommanderiez pour une patiente atteinte du syndrome de Lacomme : [Second choix ]" numFmtId="0">
      <sharedItems count="6">
        <s v="Exercices/Etirements (n=36)"/>
        <s v="Ceinture de maintien/Support pelvien (n=23)"/>
        <s v="Traitements médicamenteux (antalgiques/analgésiques) (n=13)"/>
        <s v="Conseils posturaux (n=23)"/>
        <s v="Ostéopathie (n=33)"/>
        <s v="Repos/Limitation de mouvement (n=2)"/>
      </sharedItems>
    </cacheField>
    <cacheField name="%" numFmtId="164">
      <sharedItems containsSemiMixedTypes="0" containsString="0" containsNumber="1" minValue="1.5384615384615385E-2" maxValue="0.27692307692307694"/>
    </cacheField>
  </cacheFields>
  <extLst>
    <ext xmlns:x14="http://schemas.microsoft.com/office/spreadsheetml/2009/9/main" uri="{725AE2AE-9491-48be-B2B4-4EB974FC3084}">
      <x14:pivotCacheDefinition/>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DEDENON" refreshedDate="46057.347458101853" createdVersion="8" refreshedVersion="8" minRefreshableVersion="3" recordCount="6" xr:uid="{DA50575D-62D0-4D04-893A-28D2C275F95E}">
  <cacheSource type="worksheet">
    <worksheetSource ref="J1:K7" sheet="TQ15"/>
  </cacheSource>
  <cacheFields count="2">
    <cacheField name="Classez les différentes prises en charge dans l’ordre que vous recommanderiez pour une patiente atteinte du syndrome de Lacomme : [Premier choix ]" numFmtId="0">
      <sharedItems count="6">
        <s v="Exercices/Etirements (n=30)"/>
        <s v="Ceinture de maintien/Support pelvien (n=24)"/>
        <s v="Traitements médicamenteux (antalgiques/analgésiques) (n=6)"/>
        <s v="Conseils posturaux (n=40)"/>
        <s v="Ostéopathie (n=19)"/>
        <s v="Repos/Limitation de mouvement (n=11)"/>
      </sharedItems>
    </cacheField>
    <cacheField name="%" numFmtId="164">
      <sharedItems containsSemiMixedTypes="0" containsString="0" containsNumber="1" minValue="4.6153846153846156E-2" maxValue="0.307692307692307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16335540838852097"/>
  </r>
  <r>
    <x v="1"/>
    <n v="0.15894039735099338"/>
  </r>
  <r>
    <x v="2"/>
    <n v="0.16114790286975716"/>
  </r>
  <r>
    <x v="3"/>
    <n v="0.13686534216335541"/>
  </r>
  <r>
    <x v="4"/>
    <n v="0.22075055187637968"/>
  </r>
  <r>
    <x v="5"/>
    <n v="0.158940397350993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0.13382899628252787"/>
  </r>
  <r>
    <x v="1"/>
    <n v="0.10966542750929369"/>
  </r>
  <r>
    <x v="2"/>
    <n v="0.15427509293680297"/>
  </r>
  <r>
    <x v="3"/>
    <n v="0.18029739776951673"/>
  </r>
  <r>
    <x v="4"/>
    <n v="2.0446096654275093E-2"/>
  </r>
  <r>
    <x v="5"/>
    <n v="0.10037174721189591"/>
  </r>
  <r>
    <x v="6"/>
    <n v="8.3643122676579931E-2"/>
  </r>
  <r>
    <x v="7"/>
    <n v="0.11895910780669144"/>
  </r>
  <r>
    <x v="8"/>
    <n v="9.1078066914498143E-2"/>
  </r>
  <r>
    <x v="9"/>
    <n v="7.4349442379182153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23318385650224216"/>
  </r>
  <r>
    <x v="1"/>
    <n v="0.15246636771300448"/>
  </r>
  <r>
    <x v="2"/>
    <n v="8.744394618834081E-2"/>
  </r>
  <r>
    <x v="3"/>
    <n v="8.0717488789237665E-2"/>
  </r>
  <r>
    <x v="4"/>
    <n v="3.5874439461883408E-2"/>
  </r>
  <r>
    <x v="5"/>
    <n v="0.17713004484304934"/>
  </r>
  <r>
    <x v="6"/>
    <n v="0.233183856502242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4.7619047619047616E-2"/>
  </r>
  <r>
    <x v="1"/>
    <n v="4.7619047619047616E-2"/>
  </r>
  <r>
    <x v="2"/>
    <n v="0.19047619047619047"/>
  </r>
  <r>
    <x v="3"/>
    <n v="9.5238095238095233E-2"/>
  </r>
  <r>
    <x v="4"/>
    <n v="4.7619047619047616E-2"/>
  </r>
  <r>
    <x v="5"/>
    <n v="0.14285714285714285"/>
  </r>
  <r>
    <x v="6"/>
    <n v="4.7619047619047616E-2"/>
  </r>
  <r>
    <x v="7"/>
    <n v="9.5238095238095233E-2"/>
  </r>
  <r>
    <x v="8"/>
    <n v="0.19047619047619047"/>
  </r>
  <r>
    <x v="9"/>
    <n v="4.7619047619047616E-2"/>
  </r>
  <r>
    <x v="10"/>
    <n v="4.7619047619047616E-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1640926640926641"/>
  </r>
  <r>
    <x v="1"/>
    <n v="9.6525096525096526E-2"/>
  </r>
  <r>
    <x v="2"/>
    <n v="0.18339768339768339"/>
  </r>
  <r>
    <x v="3"/>
    <n v="4.633204633204633E-2"/>
  </r>
  <r>
    <x v="4"/>
    <n v="0.18339768339768339"/>
  </r>
  <r>
    <x v="5"/>
    <n v="0.16023166023166024"/>
  </r>
  <r>
    <x v="6"/>
    <n v="0.166023166023166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29801324503311261"/>
  </r>
  <r>
    <x v="1"/>
    <n v="0.41059602649006621"/>
  </r>
  <r>
    <x v="2"/>
    <n v="0.20529801324503311"/>
  </r>
  <r>
    <x v="3"/>
    <n v="7.9470198675496692E-2"/>
  </r>
  <r>
    <x v="4"/>
    <n v="6.6225165562913907E-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9867549668874173E-2"/>
  </r>
  <r>
    <x v="1"/>
    <n v="3.3112582781456956E-2"/>
  </r>
  <r>
    <x v="2"/>
    <n v="0.11920529801324503"/>
  </r>
  <r>
    <x v="3"/>
    <n v="0.42384105960264901"/>
  </r>
  <r>
    <x v="4"/>
    <n v="0.4039735099337748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3112582781456956E-2"/>
  </r>
  <r>
    <x v="1"/>
    <n v="0.2185430463576159"/>
  </r>
  <r>
    <x v="2"/>
    <n v="0.3443708609271523"/>
  </r>
  <r>
    <x v="3"/>
    <n v="0.33112582781456956"/>
  </r>
  <r>
    <x v="4"/>
    <n v="7.2847682119205295E-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42058823529411765"/>
  </r>
  <r>
    <x v="1"/>
    <n v="0.26176470588235295"/>
  </r>
  <r>
    <x v="2"/>
    <n v="5.8823529411764705E-3"/>
  </r>
  <r>
    <x v="3"/>
    <n v="0.30882352941176472"/>
  </r>
  <r>
    <x v="4"/>
    <n v="2.9411764705882353E-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14569536423841059"/>
  </r>
  <r>
    <x v="1"/>
    <n v="0.35099337748344372"/>
  </r>
  <r>
    <x v="2"/>
    <n v="0.29801324503311261"/>
  </r>
  <r>
    <x v="3"/>
    <n v="0.18543046357615894"/>
  </r>
  <r>
    <x v="4"/>
    <n v="1.9867549668874173E-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9867549668874173E-2"/>
  </r>
  <r>
    <x v="1"/>
    <n v="5.9602649006622516E-2"/>
  </r>
  <r>
    <x v="2"/>
    <n v="0.27152317880794702"/>
  </r>
  <r>
    <x v="3"/>
    <n v="0.39735099337748342"/>
  </r>
  <r>
    <x v="4"/>
    <n v="0.2516556291390728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17218543046357615"/>
  </r>
  <r>
    <x v="1"/>
    <n v="0.27814569536423839"/>
  </r>
  <r>
    <x v="2"/>
    <n v="0.24503311258278146"/>
  </r>
  <r>
    <x v="3"/>
    <n v="0.26490066225165565"/>
  </r>
  <r>
    <x v="4"/>
    <n v="3.9735099337748346E-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0.15937499999999999"/>
  </r>
  <r>
    <x v="1"/>
    <n v="6.5625000000000003E-2"/>
  </r>
  <r>
    <x v="2"/>
    <n v="0.30312499999999998"/>
  </r>
  <r>
    <x v="3"/>
    <n v="6.5625000000000003E-2"/>
  </r>
  <r>
    <x v="4"/>
    <n v="0.265625"/>
  </r>
  <r>
    <x v="5"/>
    <n v="3.4375000000000003E-2"/>
  </r>
  <r>
    <x v="6"/>
    <n v="6.25E-2"/>
  </r>
  <r>
    <x v="7"/>
    <n v="3.125E-2"/>
  </r>
  <r>
    <x v="8"/>
    <n v="1.2500000000000001E-2"/>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23333333333333334"/>
  </r>
  <r>
    <x v="1"/>
    <n v="0.2"/>
  </r>
  <r>
    <x v="2"/>
    <n v="0.21481481481481482"/>
  </r>
  <r>
    <x v="3"/>
    <n v="0.11481481481481481"/>
  </r>
  <r>
    <x v="0"/>
    <n v="0.23333333333333334"/>
  </r>
  <r>
    <x v="4"/>
    <n v="3.7037037037037038E-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0769230769230771E-2"/>
  </r>
  <r>
    <x v="1"/>
    <n v="4.6153846153846156E-2"/>
  </r>
  <r>
    <x v="2"/>
    <n v="0.23076923076923078"/>
  </r>
  <r>
    <x v="3"/>
    <n v="6.1538461538461542E-2"/>
  </r>
  <r>
    <x v="4"/>
    <n v="6.9230769230769235E-2"/>
  </r>
  <r>
    <x v="5"/>
    <n v="0.56153846153846154"/>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9.2307692307692313E-2"/>
  </r>
  <r>
    <x v="1"/>
    <n v="0.16153846153846155"/>
  </r>
  <r>
    <x v="2"/>
    <n v="0.31538461538461537"/>
  </r>
  <r>
    <x v="3"/>
    <n v="0.11538461538461539"/>
  </r>
  <r>
    <x v="4"/>
    <n v="0.1076923076923077"/>
  </r>
  <r>
    <x v="5"/>
    <n v="0.2076923076923077"/>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13846153846153847"/>
  </r>
  <r>
    <x v="1"/>
    <n v="0.23076923076923078"/>
  </r>
  <r>
    <x v="2"/>
    <n v="0.23846153846153847"/>
  </r>
  <r>
    <x v="3"/>
    <n v="0.13076923076923078"/>
  </r>
  <r>
    <x v="4"/>
    <n v="0.17692307692307693"/>
  </r>
  <r>
    <x v="5"/>
    <n v="8.461538461538462E-2"/>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23076923076923078"/>
  </r>
  <r>
    <x v="1"/>
    <n v="0.2"/>
  </r>
  <r>
    <x v="2"/>
    <n v="6.9230769230769235E-2"/>
  </r>
  <r>
    <x v="3"/>
    <n v="0.2076923076923077"/>
  </r>
  <r>
    <x v="4"/>
    <n v="0.24615384615384617"/>
  </r>
  <r>
    <x v="5"/>
    <n v="4.6153846153846156E-2"/>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27692307692307694"/>
  </r>
  <r>
    <x v="1"/>
    <n v="0.17692307692307693"/>
  </r>
  <r>
    <x v="2"/>
    <n v="0.1"/>
  </r>
  <r>
    <x v="3"/>
    <n v="0.17692307692307693"/>
  </r>
  <r>
    <x v="4"/>
    <n v="0.25384615384615383"/>
  </r>
  <r>
    <x v="5"/>
    <n v="1.5384615384615385E-2"/>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23076923076923078"/>
  </r>
  <r>
    <x v="1"/>
    <n v="0.18461538461538463"/>
  </r>
  <r>
    <x v="2"/>
    <n v="4.6153846153846156E-2"/>
  </r>
  <r>
    <x v="3"/>
    <n v="0.30769230769230771"/>
  </r>
  <r>
    <x v="4"/>
    <n v="0.14615384615384616"/>
  </r>
  <r>
    <x v="5"/>
    <n v="8.46153846153846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09AF5-BE3F-42E7-9D8F-929C56F162EE}" name="Tableau croisé dynamique17" cacheId="8"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6" firstHeaderRow="1" firstDataRow="1" firstDataCol="1"/>
  <pivotFields count="1">
    <pivotField axis="axisRow" dataField="1" compact="0" includeNewItemsInFilter="1">
      <items count="4">
        <item h="1" x="2"/>
        <item x="0"/>
        <item x="1"/>
        <item t="default"/>
      </items>
    </pivotField>
  </pivotFields>
  <rowFields count="1">
    <field x="0"/>
  </rowFields>
  <rowItems count="3">
    <i>
      <x v="1"/>
    </i>
    <i>
      <x v="2"/>
    </i>
    <i t="grand">
      <x/>
    </i>
  </rowItems>
  <colItems count="1">
    <i/>
  </colItems>
  <dataFields count="1">
    <dataField name="Count of Êtes-vous" fld="0" subtotal="count" baseField="0"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0F245-E7EE-4239-B742-FE735C74283F}" name="Tableau croisé dynamique1" cacheId="0"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8" firstHeaderRow="1" firstDataRow="1" firstDataCol="1"/>
  <pivotFields count="1">
    <pivotField axis="axisRow" dataField="1" compact="0" includeNewItemsInFilter="1">
      <items count="3">
        <item h="1" x="0"/>
        <item h="1" x="1"/>
        <item t="default"/>
      </items>
    </pivotField>
  </pivotFields>
  <rowFields count="1">
    <field x="0"/>
  </rowFields>
  <dataFields count="1">
    <dataField name="Count of Si vous avez coché sage-femme diplômé(e), depuis combien de temps exercez-vous ?" fld="0" subtotal="count" baseField="0" baseItem="1048828"/>
  </dataFields>
  <formats count="1">
    <format dxfId="43">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CA1DE5-8C0E-43DC-A253-0184FBA1C620}" name="Tableau croisé dynamique2" cacheId="9"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6">
        <item h="1" x="0"/>
        <item h="1" x="4"/>
        <item x="1"/>
        <item x="2"/>
        <item x="3"/>
        <item t="default"/>
      </items>
    </pivotField>
  </pivotFields>
  <rowFields count="1">
    <field x="0"/>
  </rowFields>
  <rowItems count="4">
    <i>
      <x v="2"/>
    </i>
    <i>
      <x v="3"/>
    </i>
    <i>
      <x v="4"/>
    </i>
    <i t="grand">
      <x/>
    </i>
  </rowItems>
  <colItems count="1">
    <i/>
  </colItems>
  <dataFields count="1">
    <dataField name="Count of Dans quelle structure exercez-vous ?" fld="0" subtotal="count" baseField="0" baseItem="1048828"/>
  </dataFields>
  <formats count="4">
    <format dxfId="42">
      <pivotArea field="0" type="button" dataOnly="0" labelOnly="1" outline="0" axis="axisRow" fieldPosition="0"/>
    </format>
    <format dxfId="41">
      <pivotArea dataOnly="0" labelOnly="1" outline="0" axis="axisValues" fieldPosition="0"/>
    </format>
    <format dxfId="40">
      <pivotArea field="0" type="button" dataOnly="0" labelOnly="1" outline="0" axis="axisRow" fieldPosition="0"/>
    </format>
    <format dxfId="39">
      <pivotArea dataOnly="0" labelOnly="1" outline="0" axis="axisValues"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B6F3A7-41B5-400F-849D-F8F94C435D7A}" name="Tableau croisé dynamique9" cacheId="22"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0">
  <location ref="A3:B10" firstHeaderRow="2" firstDataRow="2" firstDataCol="1"/>
  <pivotFields count="2">
    <pivotField axis="axisRow" compact="0" outline="0" showAll="0" sortType="ascending" defaultSubtotal="0">
      <items count="5">
        <item x="0"/>
        <item x="1"/>
        <item x="2"/>
        <item x="3"/>
        <item x="4"/>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8E5497-32E5-46DD-A2A9-BCA4AF68C122}" name="Tableau croisé dynamique9" cacheId="23"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2">
  <location ref="A3:B10" firstHeaderRow="2" firstDataRow="2" firstDataCol="1"/>
  <pivotFields count="2">
    <pivotField axis="axisRow" compact="0" outline="0" showAll="0">
      <items count="6">
        <item x="0"/>
        <item x="1"/>
        <item x="2"/>
        <item x="3"/>
        <item x="4"/>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chartFormats count="2">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373B1A-18C6-4027-9196-0D507B0C8084}" name="Tableau croisé dynamique9" cacheId="24"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1">
  <location ref="A3:B10" firstHeaderRow="2" firstDataRow="2" firstDataCol="1"/>
  <pivotFields count="2">
    <pivotField axis="axisRow" compact="0" outline="0" showAll="0">
      <items count="6">
        <item x="0"/>
        <item x="1"/>
        <item x="2"/>
        <item x="3"/>
        <item x="4"/>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chartFormats count="3">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C1D2B9-3D28-4BF3-B8D3-0147115C61CA}" name="Tableau croisé dynamique8" cacheId="1"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2">
        <item h="1" x="0"/>
        <item t="default"/>
      </items>
    </pivotField>
  </pivotFields>
  <rowFields count="1">
    <field x="0"/>
  </rowFields>
  <dataFields count="1">
    <dataField name="Count of Avez-vous accès, au sein de votre structure, à un réseau d’ostéopathes vers lesquels orienter vos patientes ?" fld="0" subtotal="count" baseField="0" baseItem="1048828"/>
  </dataFields>
  <formats count="2">
    <format dxfId="38">
      <pivotArea field="0" type="button" dataOnly="0" labelOnly="1" outline="0" axis="axisRow" fieldPosition="0"/>
    </format>
    <format dxfId="37">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799835-FFFE-4BC2-B4F9-B4A892B7C354}" name="Tableau croisé dynamique9" cacheId="2"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8" firstHeaderRow="1" firstDataRow="1" firstDataCol="1"/>
  <pivotFields count="1">
    <pivotField axis="axisRow" dataField="1" compact="0" includeNewItemsInFilter="1">
      <items count="2">
        <item h="1" x="0"/>
        <item t="default"/>
      </items>
    </pivotField>
  </pivotFields>
  <rowFields count="1">
    <field x="0"/>
  </rowFields>
  <dataFields count="1">
    <dataField name="Count of La collaboration avec un(e) ostéopathe fait-elle partie intégrante de votre pratique ?" fld="0" subtotal="count" baseField="0" baseItem="1048828"/>
  </dataFields>
  <formats count="3">
    <format dxfId="36">
      <pivotArea field="0" type="button" dataOnly="0" labelOnly="1" outline="0" axis="axisRow" fieldPosition="0"/>
    </format>
    <format dxfId="35">
      <pivotArea field="0" type="button" dataOnly="0" labelOnly="1" outline="0" axis="axisRow" fieldPosition="0"/>
    </format>
    <format dxfId="34">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C199B3-D2B1-44EA-80DF-64563A636059}" name="Tableau croisé dynamique9" cacheId="25"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4">
  <location ref="A3:B14" firstHeaderRow="2" firstDataRow="2" firstDataCol="1"/>
  <pivotFields count="2">
    <pivotField axis="axisRow" compact="0" outline="0" showAll="0">
      <items count="10">
        <item x="6"/>
        <item x="2"/>
        <item x="5"/>
        <item x="8"/>
        <item x="4"/>
        <item x="1"/>
        <item x="7"/>
        <item x="0"/>
        <item x="3"/>
        <item t="default"/>
      </items>
    </pivotField>
    <pivotField dataField="1" compact="0" numFmtId="164" outline="0" showAll="0"/>
  </pivotFields>
  <rowFields count="1">
    <field x="0"/>
  </rowFields>
  <rowItems count="10">
    <i>
      <x/>
    </i>
    <i>
      <x v="1"/>
    </i>
    <i>
      <x v="2"/>
    </i>
    <i>
      <x v="3"/>
    </i>
    <i>
      <x v="4"/>
    </i>
    <i>
      <x v="5"/>
    </i>
    <i>
      <x v="6"/>
    </i>
    <i>
      <x v="7"/>
    </i>
    <i>
      <x v="8"/>
    </i>
    <i t="grand">
      <x/>
    </i>
  </rowItems>
  <colItems count="1">
    <i/>
  </colItems>
  <dataFields count="1">
    <dataField name="Somme de %" fld="1" baseField="0" baseItem="0" numFmtId="164"/>
  </dataFields>
  <chartFormats count="4">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C022A4-B147-48BE-B1FE-ED0E6CA65B45}" name="Tableau croisé dynamique9" cacheId="20"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5">
  <location ref="A3:B10" firstHeaderRow="2" firstDataRow="2" firstDataCol="1"/>
  <pivotFields count="2">
    <pivotField axis="axisRow" compact="0" outline="0" showAll="0">
      <items count="6">
        <item x="0"/>
        <item x="1"/>
        <item x="2"/>
        <item x="3"/>
        <item x="4"/>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formats count="2">
    <format dxfId="33">
      <pivotArea field="0" type="button" dataOnly="0" labelOnly="1" outline="0" axis="axisRow" fieldPosition="0"/>
    </format>
    <format dxfId="32">
      <pivotArea field="0" type="button" dataOnly="0" labelOnly="1" outline="0" axis="axisRow" fieldPosition="0"/>
    </format>
  </formats>
  <chartFormats count="5">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CE1B26-44AD-4029-B83A-28C74E46920E}" name="Tableau croisé dynamique9" cacheId="21"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6">
  <location ref="A3:B10" firstHeaderRow="2" firstDataRow="2" firstDataCol="1"/>
  <pivotFields count="2">
    <pivotField axis="axisRow" compact="0" outline="0" showAll="0">
      <items count="6">
        <item x="2"/>
        <item x="4"/>
        <item x="3"/>
        <item x="1"/>
        <item x="0"/>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chartFormats count="6">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648106-5C1B-43C1-B39C-E587746CB54C}" name="Tableau croisé dynamique11" cacheId="3"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9" firstHeaderRow="1" firstDataRow="1" firstDataCol="1"/>
  <pivotFields count="1">
    <pivotField axis="axisRow" dataField="1" compact="0" includeNewItemsInFilter="1">
      <items count="3">
        <item h="1" x="0"/>
        <item h="1" x="1"/>
        <item t="default"/>
      </items>
    </pivotField>
  </pivotFields>
  <rowFields count="1">
    <field x="0"/>
  </rowFields>
  <dataFields count="1">
    <dataField name="Count of A quelle fréquence rencontrez-vous des patientes présentant un syndrome de Lacomme ?" fld="0" subtotal="count" baseField="0" baseItem="1048828"/>
  </dataFields>
  <formats count="2">
    <format dxfId="31">
      <pivotArea field="0" type="button" dataOnly="0" labelOnly="1" outline="0" axis="axisRow" fieldPosition="0"/>
    </format>
    <format dxfId="30">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9BF2C9-A4C1-456F-8E73-0508AE712F28}" name="Tableau croisé dynamique12" cacheId="4"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2">
        <item h="1" x="0"/>
        <item t="default"/>
      </items>
    </pivotField>
  </pivotFields>
  <rowFields count="1">
    <field x="0"/>
  </rowFields>
  <dataFields count="1">
    <dataField name="Count of Estimez-vous qu’il y a un retard diagnostic à la prise en charge de ce syndrome ?" fld="0" subtotal="count" baseField="0" baseItem="1048828"/>
  </dataFields>
  <formats count="3">
    <format dxfId="29">
      <pivotArea field="0" type="button" dataOnly="0" labelOnly="1" outline="0" axis="axisRow" fieldPosition="0"/>
    </format>
    <format dxfId="28">
      <pivotArea field="0" type="button" dataOnly="0" labelOnly="1" outline="0" axis="axisRow" fieldPosition="0"/>
    </format>
    <format dxfId="27">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BF3686-FA20-4D5A-A26B-0EDE5D906E5D}" name="Tableau croisé dynamique9" cacheId="26"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7">
  <location ref="A3:B10" firstHeaderRow="2" firstDataRow="2" firstDataCol="1"/>
  <pivotFields count="2">
    <pivotField axis="axisRow" compact="0" outline="0" showAll="0">
      <items count="6">
        <item x="0"/>
        <item x="1"/>
        <item x="3"/>
        <item x="4"/>
        <item x="2"/>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chartFormats count="7">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98EE3B-78ED-44E6-94C4-7195B0AFE5BA}" name="Tableau croisé dynamique9" cacheId="33"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3">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8">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0" count="1" selected="0">
            <x v="2"/>
          </reference>
        </references>
      </pivotArea>
    </chartFormat>
    <chartFormat chart="16" format="23">
      <pivotArea type="data" outline="0" fieldPosition="0">
        <references count="2">
          <reference field="4294967294" count="1" selected="0">
            <x v="0"/>
          </reference>
          <reference field="0" count="1" selected="0">
            <x v="3"/>
          </reference>
        </references>
      </pivotArea>
    </chartFormat>
    <chartFormat chart="16" format="24">
      <pivotArea type="data" outline="0" fieldPosition="0">
        <references count="2">
          <reference field="4294967294" count="1" selected="0">
            <x v="0"/>
          </reference>
          <reference field="0" count="1" selected="0">
            <x v="4"/>
          </reference>
        </references>
      </pivotArea>
    </chartFormat>
    <chartFormat chart="16" format="25">
      <pivotArea type="data" outline="0" fieldPosition="0">
        <references count="2">
          <reference field="4294967294" count="1" selected="0">
            <x v="0"/>
          </reference>
          <reference field="0" count="1" selected="0">
            <x v="0"/>
          </reference>
        </references>
      </pivotArea>
    </chartFormat>
    <chartFormat chart="16" format="2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37497E-4177-450A-A4B7-990E9C74AD95}" name="Tableau croisé dynamique9" cacheId="32"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0">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7">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5"/>
          </reference>
        </references>
      </pivotArea>
    </chartFormat>
    <chartFormat chart="15" format="22">
      <pivotArea type="data" outline="0" fieldPosition="0">
        <references count="2">
          <reference field="4294967294" count="1" selected="0">
            <x v="0"/>
          </reference>
          <reference field="0" count="1" selected="0">
            <x v="4"/>
          </reference>
        </references>
      </pivotArea>
    </chartFormat>
    <chartFormat chart="15" format="23">
      <pivotArea type="data" outline="0" fieldPosition="0">
        <references count="2">
          <reference field="4294967294" count="1" selected="0">
            <x v="0"/>
          </reference>
          <reference field="0" count="1" selected="0">
            <x v="3"/>
          </reference>
        </references>
      </pivotArea>
    </chartFormat>
    <chartFormat chart="15" format="24">
      <pivotArea type="data" outline="0" fieldPosition="0">
        <references count="2">
          <reference field="4294967294" count="1" selected="0">
            <x v="0"/>
          </reference>
          <reference field="0" count="1" selected="0">
            <x v="2"/>
          </reference>
        </references>
      </pivotArea>
    </chartFormat>
    <chartFormat chart="15" format="2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659D20-C10B-4968-A072-E9673C830F16}" name="Tableau croisé dynamique9" cacheId="31"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9">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6">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0" count="1" selected="0">
            <x v="5"/>
          </reference>
        </references>
      </pivotArea>
    </chartFormat>
    <chartFormat chart="14" format="21">
      <pivotArea type="data" outline="0" fieldPosition="0">
        <references count="2">
          <reference field="4294967294" count="1" selected="0">
            <x v="0"/>
          </reference>
          <reference field="0" count="1" selected="0">
            <x v="4"/>
          </reference>
        </references>
      </pivotArea>
    </chartFormat>
    <chartFormat chart="14" format="22">
      <pivotArea type="data" outline="0" fieldPosition="0">
        <references count="2">
          <reference field="4294967294" count="1" selected="0">
            <x v="0"/>
          </reference>
          <reference field="0" count="1" selected="0">
            <x v="3"/>
          </reference>
        </references>
      </pivotArea>
    </chartFormat>
    <chartFormat chart="14" format="23">
      <pivotArea type="data" outline="0" fieldPosition="0">
        <references count="2">
          <reference field="4294967294" count="1" selected="0">
            <x v="0"/>
          </reference>
          <reference field="0" count="1" selected="0">
            <x v="0"/>
          </reference>
        </references>
      </pivotArea>
    </chartFormat>
    <chartFormat chart="14" format="2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83E7887-0BEC-446C-95E3-492B553F4E61}" name="Tableau croisé dynamique9" cacheId="30"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8">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5">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0" count="1" selected="0">
            <x v="5"/>
          </reference>
        </references>
      </pivotArea>
    </chartFormat>
    <chartFormat chart="13" format="20">
      <pivotArea type="data" outline="0" fieldPosition="0">
        <references count="2">
          <reference field="4294967294" count="1" selected="0">
            <x v="0"/>
          </reference>
          <reference field="0" count="1" selected="0">
            <x v="4"/>
          </reference>
        </references>
      </pivotArea>
    </chartFormat>
    <chartFormat chart="13" format="21">
      <pivotArea type="data" outline="0" fieldPosition="0">
        <references count="2">
          <reference field="4294967294" count="1" selected="0">
            <x v="0"/>
          </reference>
          <reference field="0" count="1" selected="0">
            <x v="3"/>
          </reference>
        </references>
      </pivotArea>
    </chartFormat>
    <chartFormat chart="13" format="22">
      <pivotArea type="data" outline="0" fieldPosition="0">
        <references count="2">
          <reference field="4294967294" count="1" selected="0">
            <x v="0"/>
          </reference>
          <reference field="0" count="1" selected="0">
            <x v="0"/>
          </reference>
        </references>
      </pivotArea>
    </chartFormat>
    <chartFormat chart="13" format="2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BB4809-7CB3-48F6-9840-B3ADA2BF24B1}" name="Tableau croisé dynamique9" cacheId="29"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7">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4">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0" count="1" selected="0">
            <x v="5"/>
          </reference>
        </references>
      </pivotArea>
    </chartFormat>
    <chartFormat chart="12" format="19">
      <pivotArea type="data" outline="0" fieldPosition="0">
        <references count="2">
          <reference field="4294967294" count="1" selected="0">
            <x v="0"/>
          </reference>
          <reference field="0" count="1" selected="0">
            <x v="4"/>
          </reference>
        </references>
      </pivotArea>
    </chartFormat>
    <chartFormat chart="12" format="20">
      <pivotArea type="data" outline="0" fieldPosition="0">
        <references count="2">
          <reference field="4294967294" count="1" selected="0">
            <x v="0"/>
          </reference>
          <reference field="0" count="1" selected="0">
            <x v="3"/>
          </reference>
        </references>
      </pivotArea>
    </chartFormat>
    <chartFormat chart="12" format="21">
      <pivotArea type="data" outline="0" fieldPosition="0">
        <references count="2">
          <reference field="4294967294" count="1" selected="0">
            <x v="0"/>
          </reference>
          <reference field="0" count="1" selected="0">
            <x v="2"/>
          </reference>
        </references>
      </pivotArea>
    </chartFormat>
    <chartFormat chart="12" format="2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AF2F83D-71CD-4072-BE43-C2624C592525}" name="Tableau croisé dynamique9" cacheId="28"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6">
  <location ref="A3:B11" firstHeaderRow="2" firstDataRow="2" firstDataCol="1"/>
  <pivotFields count="2">
    <pivotField axis="axisRow" compact="0" outline="0" showAll="0">
      <items count="7">
        <item x="1"/>
        <item x="3"/>
        <item x="0"/>
        <item x="4"/>
        <item x="5"/>
        <item x="2"/>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3">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5"/>
          </reference>
        </references>
      </pivotArea>
    </chartFormat>
    <chartFormat chart="11" format="18">
      <pivotArea type="data" outline="0" fieldPosition="0">
        <references count="2">
          <reference field="4294967294" count="1" selected="0">
            <x v="0"/>
          </reference>
          <reference field="0" count="1" selected="0">
            <x v="4"/>
          </reference>
        </references>
      </pivotArea>
    </chartFormat>
    <chartFormat chart="11" format="19">
      <pivotArea type="data" outline="0" fieldPosition="0">
        <references count="2">
          <reference field="4294967294" count="1" selected="0">
            <x v="0"/>
          </reference>
          <reference field="0" count="1" selected="0">
            <x v="3"/>
          </reference>
        </references>
      </pivotArea>
    </chartFormat>
    <chartFormat chart="11" format="20">
      <pivotArea type="data" outline="0" fieldPosition="0">
        <references count="2">
          <reference field="4294967294" count="1" selected="0">
            <x v="0"/>
          </reference>
          <reference field="0" count="1" selected="0">
            <x v="2"/>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B65C02-F74E-4F84-9475-78ED04491440}" name="Tableau croisé dynamique9" cacheId="19"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0">
  <location ref="A3:B10" firstHeaderRow="2" firstDataRow="2" firstDataCol="1"/>
  <pivotFields count="2">
    <pivotField axis="axisRow" compact="0" outline="0" showAll="0">
      <items count="6">
        <item x="0"/>
        <item x="1"/>
        <item x="2"/>
        <item x="3"/>
        <item x="4"/>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formats count="2">
    <format dxfId="26">
      <pivotArea field="0" type="button" dataOnly="0" labelOnly="1" outline="0" axis="axisRow" fieldPosition="0"/>
    </format>
    <format dxfId="25">
      <pivotArea field="0" type="button" dataOnly="0" labelOnly="1" outline="0" axis="axisRow" fieldPosition="0"/>
    </format>
  </formats>
  <chartFormats count="8">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751E6F0-70ED-4B9C-AC21-5C7D85611AE6}" name="Tableau croisé dynamique24" cacheId="10" applyNumberFormats="0" applyBorderFormats="0" applyFontFormats="0" applyPatternFormats="0" applyAlignmentFormats="0" applyWidthHeightFormats="1" dataCaption="Values" updatedVersion="8" minRefreshableVersion="3" useAutoFormatting="1" itemPrintTitles="1" createdVersion="8" indent="0" compact="0" compactData="0" chartFormat="4">
  <location ref="A3:B9" firstHeaderRow="1" firstDataRow="1" firstDataCol="1"/>
  <pivotFields count="1">
    <pivotField axis="axisRow" dataField="1" compact="0" includeNewItemsInFilter="1">
      <items count="8">
        <item h="1" x="2"/>
        <item h="1" x="6"/>
        <item x="0"/>
        <item x="1"/>
        <item x="3"/>
        <item x="4"/>
        <item x="5"/>
        <item t="default"/>
      </items>
    </pivotField>
  </pivotFields>
  <rowFields count="1">
    <field x="0"/>
  </rowFields>
  <rowItems count="6">
    <i>
      <x v="2"/>
    </i>
    <i>
      <x v="3"/>
    </i>
    <i>
      <x v="4"/>
    </i>
    <i>
      <x v="5"/>
    </i>
    <i>
      <x v="6"/>
    </i>
    <i t="grand">
      <x/>
    </i>
  </rowItems>
  <colItems count="1">
    <i/>
  </colItems>
  <dataFields count="1">
    <dataField name="Count of Si oui, à quel moment ?" fld="0" subtotal="count" baseField="0" baseItem="1048828"/>
  </dataFields>
  <formats count="6">
    <format dxfId="24">
      <pivotArea field="0" type="button" dataOnly="0" labelOnly="1" outline="0" axis="axisRow" fieldPosition="0"/>
    </format>
    <format dxfId="23">
      <pivotArea dataOnly="0" labelOnly="1" outline="0" axis="axisValues" fieldPosition="0"/>
    </format>
    <format dxfId="22">
      <pivotArea field="0" type="button" dataOnly="0" labelOnly="1" outline="0" axis="axisRow"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5D0E624-714A-484E-AA67-A0A840FD249D}" name="Tableau croisé dynamique9" cacheId="18"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1">
  <location ref="A3:B10" firstHeaderRow="2" firstDataRow="2" firstDataCol="1"/>
  <pivotFields count="2">
    <pivotField axis="axisRow" compact="0" outline="0" showAll="0">
      <items count="6">
        <item x="0"/>
        <item x="1"/>
        <item x="2"/>
        <item x="3"/>
        <item x="4"/>
        <item t="default"/>
      </items>
    </pivotField>
    <pivotField dataField="1" compact="0" numFmtId="164" outline="0" showAll="0"/>
  </pivotFields>
  <rowFields count="1">
    <field x="0"/>
  </rowFields>
  <rowItems count="6">
    <i>
      <x/>
    </i>
    <i>
      <x v="1"/>
    </i>
    <i>
      <x v="2"/>
    </i>
    <i>
      <x v="3"/>
    </i>
    <i>
      <x v="4"/>
    </i>
    <i t="grand">
      <x/>
    </i>
  </rowItems>
  <colItems count="1">
    <i/>
  </colItems>
  <dataFields count="1">
    <dataField name="Somme de %" fld="1" baseField="0" baseItem="0" numFmtId="164"/>
  </dataFields>
  <formats count="2">
    <format dxfId="18">
      <pivotArea field="0" type="button" dataOnly="0" labelOnly="1" outline="0" axis="axisRow" fieldPosition="0"/>
    </format>
    <format dxfId="17">
      <pivotArea field="0" type="button" dataOnly="0" labelOnly="1" outline="0" axis="axisRow" fieldPosition="0"/>
    </format>
  </formats>
  <chartFormats count="9">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7C1E5A6-2300-4592-9E26-7ABF221AB250}" name="Tableau croisé dynamique9" cacheId="17"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9">
  <location ref="A3:B12" firstHeaderRow="2" firstDataRow="2" firstDataCol="1"/>
  <pivotFields count="2">
    <pivotField axis="axisRow" compact="0" outline="0" showAll="0">
      <items count="8">
        <item x="0"/>
        <item x="6"/>
        <item x="3"/>
        <item x="2"/>
        <item x="5"/>
        <item x="4"/>
        <item x="1"/>
        <item t="default"/>
      </items>
    </pivotField>
    <pivotField dataField="1" compact="0" numFmtId="164" outline="0" showAll="0"/>
  </pivotFields>
  <rowFields count="1">
    <field x="0"/>
  </rowFields>
  <rowItems count="8">
    <i>
      <x/>
    </i>
    <i>
      <x v="1"/>
    </i>
    <i>
      <x v="2"/>
    </i>
    <i>
      <x v="3"/>
    </i>
    <i>
      <x v="4"/>
    </i>
    <i>
      <x v="5"/>
    </i>
    <i>
      <x v="6"/>
    </i>
    <i t="grand">
      <x/>
    </i>
  </rowItems>
  <colItems count="1">
    <i/>
  </colItems>
  <dataFields count="1">
    <dataField name="Somme de %" fld="1" baseField="0" baseItem="0" numFmtId="164"/>
  </dataFields>
  <formats count="2">
    <format dxfId="16">
      <pivotArea field="0" type="button" dataOnly="0" labelOnly="1" outline="0" axis="axisRow" fieldPosition="0"/>
    </format>
    <format dxfId="15">
      <pivotArea field="0" type="button" dataOnly="0" labelOnly="1" outline="0" axis="axisRow" fieldPosition="0"/>
    </format>
  </formats>
  <chartFormats count="10">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BA19CCD-103F-4CF3-B6A0-65D4955B2A30}" name="Tableau croisé dynamique9" cacheId="11"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7">
  <location ref="A3:B11" firstHeaderRow="2" firstDataRow="2" firstDataCol="1"/>
  <pivotFields count="2">
    <pivotField axis="axisRow" compact="0" outline="0" showAll="0">
      <items count="7">
        <item x="1"/>
        <item x="5"/>
        <item x="4"/>
        <item x="3"/>
        <item x="2"/>
        <item x="0"/>
        <item t="default"/>
      </items>
    </pivotField>
    <pivotField dataField="1" compact="0" numFmtId="164" outline="0" showAll="0"/>
  </pivotFields>
  <rowFields count="1">
    <field x="0"/>
  </rowFields>
  <rowItems count="7">
    <i>
      <x/>
    </i>
    <i>
      <x v="1"/>
    </i>
    <i>
      <x v="2"/>
    </i>
    <i>
      <x v="3"/>
    </i>
    <i>
      <x v="4"/>
    </i>
    <i>
      <x v="5"/>
    </i>
    <i t="grand">
      <x/>
    </i>
  </rowItems>
  <colItems count="1">
    <i/>
  </colItems>
  <dataFields count="1">
    <dataField name="Somme de %" fld="1" baseField="0" baseItem="0" numFmtId="164"/>
  </dataFields>
  <chartFormats count="11">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79EC1EB-CD8B-4D00-A164-C61EC7036331}" name="Tableau croisé dynamique9" cacheId="12"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1">
  <location ref="A3:B15" firstHeaderRow="2" firstDataRow="2" firstDataCol="1"/>
  <pivotFields count="2">
    <pivotField axis="axisRow" compact="0" outline="0" showAll="0">
      <items count="11">
        <item x="0"/>
        <item x="6"/>
        <item x="7"/>
        <item x="9"/>
        <item x="5"/>
        <item x="8"/>
        <item x="4"/>
        <item x="3"/>
        <item x="1"/>
        <item x="2"/>
        <item t="default"/>
      </items>
    </pivotField>
    <pivotField dataField="1" compact="0" numFmtId="164" outline="0" showAll="0"/>
  </pivotFields>
  <rowFields count="1">
    <field x="0"/>
  </rowFields>
  <rowItems count="11">
    <i>
      <x/>
    </i>
    <i>
      <x v="1"/>
    </i>
    <i>
      <x v="2"/>
    </i>
    <i>
      <x v="3"/>
    </i>
    <i>
      <x v="4"/>
    </i>
    <i>
      <x v="5"/>
    </i>
    <i>
      <x v="6"/>
    </i>
    <i>
      <x v="7"/>
    </i>
    <i>
      <x v="8"/>
    </i>
    <i>
      <x v="9"/>
    </i>
    <i t="grand">
      <x/>
    </i>
  </rowItems>
  <colItems count="1">
    <i/>
  </colItems>
  <dataFields count="1">
    <dataField name="Somme de %" fld="1" baseField="0" baseItem="0" numFmtId="164"/>
  </dataFields>
  <chartFormats count="12">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8502F3F-A429-4047-BBFD-7E0899AE9CF8}" name="Tableau croisé dynamique14" cacheId="5"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3">
        <item h="1" x="0"/>
        <item h="1" x="1"/>
        <item t="default"/>
      </items>
    </pivotField>
  </pivotFields>
  <rowFields count="1">
    <field x="0"/>
  </rowFields>
  <dataFields count="1">
    <dataField name="Count of Les recommandations officielles (HAS, CNGOF, Ordre des sages-femmes) influencent-elles votre décision d’orienter vers l’ostéopathie ?" fld="0" subtotal="count" baseField="0" baseItem="1048828"/>
  </dataFields>
  <formats count="3">
    <format dxfId="14">
      <pivotArea field="0" type="button" dataOnly="0" labelOnly="1" outline="0" axis="axisRow" fieldPosition="0"/>
    </format>
    <format dxfId="13">
      <pivotArea field="0" type="button" dataOnly="0" labelOnly="1" outline="0" axis="axisRow" fieldPosition="0"/>
    </format>
    <format dxfId="12">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622E842-50B2-4C96-B463-66CEAD247D1A}" name="Tableau croisé dynamique15" cacheId="6"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2">
        <item h="1" x="0"/>
        <item t="default"/>
      </items>
    </pivotField>
  </pivotFields>
  <rowFields count="1">
    <field x="0"/>
  </rowFields>
  <dataFields count="1">
    <dataField name="Count of Pensez-vous que la collaboration entre sages-femmes et ostéopathes pourrait améliorer la prise en charge des femmes enceintes ?" fld="0" subtotal="count" baseField="0" baseItem="1048828"/>
  </dataFields>
  <formats count="3">
    <format dxfId="11">
      <pivotArea field="0" type="button" dataOnly="0" labelOnly="1" outline="0" axis="axisRow" fieldPosition="0"/>
    </format>
    <format dxfId="10">
      <pivotArea field="0" type="button" dataOnly="0" labelOnly="1" outline="0" axis="axisRow" fieldPosition="0"/>
    </format>
    <format dxfId="9">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7B27F4C-E66B-4733-8A36-38154F587E80}" name="Tableau croisé dynamique16" cacheId="7"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3:B7" firstHeaderRow="1" firstDataRow="1" firstDataCol="1"/>
  <pivotFields count="1">
    <pivotField axis="axisRow" dataField="1" compact="0" includeNewItemsInFilter="1">
      <items count="2">
        <item h="1" x="0"/>
        <item t="default"/>
      </items>
    </pivotField>
  </pivotFields>
  <rowFields count="1">
    <field x="0"/>
  </rowFields>
  <dataFields count="1">
    <dataField name="Count of Seriez-vous favorable à l’intégration d’ostéopathes dans les équipes pluridisciplinaires périnatales ?" fld="0" subtotal="count" baseField="0" baseItem="1048828"/>
  </dataFields>
  <formats count="3">
    <format dxfId="8">
      <pivotArea field="0" type="button" dataOnly="0" labelOnly="1" outline="0" axis="axisRow" fieldPosition="0"/>
    </format>
    <format dxfId="7">
      <pivotArea field="0" type="button" dataOnly="0" labelOnly="1" outline="0" axis="axisRow" fieldPosition="0"/>
    </format>
    <format dxfId="6">
      <pivotArea field="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AFE5F65-49B0-4B1A-A9A4-4B00E0A1DDB6}" name="Tableau croisé dynamique9" cacheId="13"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19">
  <location ref="A3:B12" firstHeaderRow="2" firstDataRow="2" firstDataCol="1"/>
  <pivotFields count="2">
    <pivotField axis="axisRow" compact="0" outline="0" showAll="0">
      <items count="8">
        <item x="6"/>
        <item x="4"/>
        <item x="1"/>
        <item x="2"/>
        <item x="5"/>
        <item x="0"/>
        <item x="3"/>
        <item t="default"/>
      </items>
    </pivotField>
    <pivotField dataField="1" compact="0" numFmtId="164" outline="0" showAll="0"/>
  </pivotFields>
  <rowFields count="1">
    <field x="0"/>
  </rowFields>
  <rowItems count="8">
    <i>
      <x/>
    </i>
    <i>
      <x v="1"/>
    </i>
    <i>
      <x v="2"/>
    </i>
    <i>
      <x v="3"/>
    </i>
    <i>
      <x v="4"/>
    </i>
    <i>
      <x v="5"/>
    </i>
    <i>
      <x v="6"/>
    </i>
    <i t="grand">
      <x/>
    </i>
  </rowItems>
  <colItems count="1">
    <i/>
  </colItems>
  <dataFields count="1">
    <dataField name="Somme de %" fld="1" baseField="0" baseItem="0" numFmtId="164"/>
  </dataFields>
  <chartFormats count="13">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F8C9761-F88D-45E8-B49F-89910566C98B}" name="Tableau croisé dynamique9" cacheId="16"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1">
  <location ref="A3:B16" firstHeaderRow="2" firstDataRow="2" firstDataCol="1"/>
  <pivotFields count="2">
    <pivotField axis="axisRow" compact="0" outline="0" showAll="0">
      <items count="12">
        <item x="10"/>
        <item x="1"/>
        <item x="0"/>
        <item x="5"/>
        <item x="2"/>
        <item x="8"/>
        <item x="9"/>
        <item x="4"/>
        <item x="7"/>
        <item x="3"/>
        <item x="6"/>
        <item t="default"/>
      </items>
    </pivotField>
    <pivotField dataField="1" compact="0" numFmtId="164" outline="0" showAll="0"/>
  </pivotFields>
  <rowFields count="1">
    <field x="0"/>
  </rowFields>
  <rowItems count="12">
    <i>
      <x/>
    </i>
    <i>
      <x v="1"/>
    </i>
    <i>
      <x v="2"/>
    </i>
    <i>
      <x v="3"/>
    </i>
    <i>
      <x v="4"/>
    </i>
    <i>
      <x v="5"/>
    </i>
    <i>
      <x v="6"/>
    </i>
    <i>
      <x v="7"/>
    </i>
    <i>
      <x v="8"/>
    </i>
    <i>
      <x v="9"/>
    </i>
    <i>
      <x v="10"/>
    </i>
    <i t="grand">
      <x/>
    </i>
  </rowItems>
  <colItems count="1">
    <i/>
  </colItems>
  <dataFields count="1">
    <dataField name="Somme de %" fld="1" baseField="0" baseItem="0" numFmtId="164"/>
  </dataFields>
  <formats count="3">
    <format dxfId="5">
      <pivotArea field="0" type="button" dataOnly="0" labelOnly="1" outline="0" axis="axisRow" fieldPosition="0"/>
    </format>
    <format dxfId="4">
      <pivotArea field="0" type="button" dataOnly="0" labelOnly="1" outline="0" axis="axisRow" fieldPosition="0"/>
    </format>
    <format dxfId="3">
      <pivotArea field="0" type="button" dataOnly="0" labelOnly="1" outline="0" axis="axisRow" fieldPosition="0"/>
    </format>
  </formats>
  <chartFormats count="14">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774D142-5AE4-405C-A1E7-E41CB283768B}" name="Tableau croisé dynamique9" cacheId="15"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1">
  <location ref="A3:B19" firstHeaderRow="2" firstDataRow="2" firstDataCol="1"/>
  <pivotFields count="2">
    <pivotField axis="axisRow" compact="0" outline="0" showAll="0">
      <items count="15">
        <item x="12"/>
        <item x="10"/>
        <item x="3"/>
        <item x="1"/>
        <item x="5"/>
        <item x="8"/>
        <item x="0"/>
        <item x="6"/>
        <item x="4"/>
        <item x="7"/>
        <item x="13"/>
        <item x="11"/>
        <item x="9"/>
        <item x="2"/>
        <item t="default"/>
      </items>
    </pivotField>
    <pivotField dataField="1" compact="0" numFmtId="164" outline="0"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omme de %" fld="1" baseField="0" baseItem="0" numFmtId="164"/>
  </dataFields>
  <formats count="3">
    <format dxfId="2">
      <pivotArea field="0" type="button" dataOnly="0" labelOnly="1" outline="0" axis="axisRow" fieldPosition="0"/>
    </format>
    <format dxfId="1">
      <pivotArea field="0" type="button" dataOnly="0" labelOnly="1" outline="0" axis="axisRow" fieldPosition="0"/>
    </format>
    <format dxfId="0">
      <pivotArea field="0" type="button" dataOnly="0" labelOnly="1" outline="0" axis="axisRow" fieldPosition="0"/>
    </format>
  </formats>
  <chartFormats count="15">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0"/>
          </reference>
        </references>
      </pivotArea>
    </chartFormat>
    <chartFormat chart="18"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09C6A5C-B5A4-4367-A11E-20B710BDC19F}" name="Tableau croisé dynamique9" cacheId="14"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2">
  <location ref="A3:B16" firstHeaderRow="2" firstDataRow="2" firstDataCol="1"/>
  <pivotFields count="2">
    <pivotField axis="axisRow" compact="0" outline="0" showAll="0">
      <items count="12">
        <item x="6"/>
        <item x="5"/>
        <item x="8"/>
        <item x="10"/>
        <item x="2"/>
        <item x="9"/>
        <item x="7"/>
        <item x="3"/>
        <item x="1"/>
        <item x="4"/>
        <item x="0"/>
        <item t="default"/>
      </items>
    </pivotField>
    <pivotField dataField="1" compact="0" numFmtId="164" outline="0" showAll="0"/>
  </pivotFields>
  <rowFields count="1">
    <field x="0"/>
  </rowFields>
  <rowItems count="12">
    <i>
      <x/>
    </i>
    <i>
      <x v="1"/>
    </i>
    <i>
      <x v="2"/>
    </i>
    <i>
      <x v="3"/>
    </i>
    <i>
      <x v="4"/>
    </i>
    <i>
      <x v="5"/>
    </i>
    <i>
      <x v="6"/>
    </i>
    <i>
      <x v="7"/>
    </i>
    <i>
      <x v="8"/>
    </i>
    <i>
      <x v="9"/>
    </i>
    <i>
      <x v="10"/>
    </i>
    <i t="grand">
      <x/>
    </i>
  </rowItems>
  <colItems count="1">
    <i/>
  </colItems>
  <dataFields count="1">
    <dataField name="Somme de %" fld="1" baseField="0" baseItem="0" numFmtId="164"/>
  </dataFields>
  <chartFormats count="16">
    <chartFormat chart="0"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0"/>
          </reference>
        </references>
      </pivotArea>
    </chartFormat>
    <chartFormat chart="18" format="24" series="1">
      <pivotArea type="data" outline="0" fieldPosition="0">
        <references count="1">
          <reference field="4294967294" count="1" selected="0">
            <x v="0"/>
          </reference>
        </references>
      </pivotArea>
    </chartFormat>
    <chartFormat chart="19"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8.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9.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0.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2.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3.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4.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2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7.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ivotTable" Target="../pivotTables/pivotTable2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ivotTable" Target="../pivotTables/pivotTable29.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ivotTable" Target="../pivotTables/pivotTable30.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ivotTable" Target="../pivotTables/pivotTable31.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ivotTable" Target="../pivotTables/pivotTable32.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ivotTable" Target="../pivotTables/pivot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5295-0EF1-42C8-8AA7-25AB095B2A1E}">
  <dimension ref="A1:AJ152"/>
  <sheetViews>
    <sheetView tabSelected="1" topLeftCell="R1" zoomScale="60" zoomScaleNormal="70" workbookViewId="0">
      <selection activeCell="AA1" sqref="AA1"/>
    </sheetView>
  </sheetViews>
  <sheetFormatPr baseColWidth="10" defaultColWidth="8.83203125" defaultRowHeight="15" x14ac:dyDescent="0.2"/>
  <cols>
    <col min="1" max="1" width="30.6640625" bestFit="1" customWidth="1"/>
    <col min="2" max="2" width="34.5" bestFit="1" customWidth="1"/>
    <col min="3" max="3" width="30.1640625" bestFit="1" customWidth="1"/>
    <col min="4" max="14" width="34.5" bestFit="1" customWidth="1"/>
    <col min="15" max="15" width="36.5" customWidth="1"/>
    <col min="16" max="36" width="34.5" bestFit="1" customWidth="1"/>
    <col min="37" max="37" width="9.1640625" customWidth="1"/>
  </cols>
  <sheetData>
    <row r="1" spans="1:36" ht="66" x14ac:dyDescent="0.2">
      <c r="A1" s="8" t="s">
        <v>700</v>
      </c>
      <c r="B1" s="8" t="s">
        <v>736</v>
      </c>
      <c r="C1" s="8" t="s">
        <v>737</v>
      </c>
      <c r="D1" s="8" t="s">
        <v>738</v>
      </c>
      <c r="E1" s="8" t="s">
        <v>739</v>
      </c>
      <c r="F1" s="8" t="s">
        <v>740</v>
      </c>
      <c r="G1" s="8" t="s">
        <v>741</v>
      </c>
      <c r="H1" s="8" t="s">
        <v>701</v>
      </c>
      <c r="I1" s="8" t="s">
        <v>742</v>
      </c>
      <c r="J1" s="8" t="s">
        <v>743</v>
      </c>
      <c r="K1" s="8" t="s">
        <v>744</v>
      </c>
      <c r="L1" s="8" t="s">
        <v>745</v>
      </c>
      <c r="M1" s="8" t="s">
        <v>746</v>
      </c>
      <c r="N1" s="8" t="s">
        <v>747</v>
      </c>
      <c r="O1" s="8" t="s">
        <v>748</v>
      </c>
      <c r="P1" s="8" t="s">
        <v>749</v>
      </c>
      <c r="Q1" s="8" t="s">
        <v>750</v>
      </c>
      <c r="R1" s="8" t="s">
        <v>751</v>
      </c>
      <c r="S1" s="8" t="s">
        <v>752</v>
      </c>
      <c r="T1" s="8" t="s">
        <v>753</v>
      </c>
      <c r="U1" s="8" t="s">
        <v>755</v>
      </c>
      <c r="V1" s="8" t="s">
        <v>754</v>
      </c>
      <c r="W1" s="8" t="s">
        <v>756</v>
      </c>
      <c r="X1" s="8" t="s">
        <v>757</v>
      </c>
      <c r="Y1" s="8" t="s">
        <v>758</v>
      </c>
      <c r="Z1" s="8" t="s">
        <v>759</v>
      </c>
      <c r="AA1" s="8" t="s">
        <v>760</v>
      </c>
      <c r="AB1" s="8" t="s">
        <v>761</v>
      </c>
      <c r="AC1" s="8" t="s">
        <v>762</v>
      </c>
      <c r="AD1" s="8" t="s">
        <v>763</v>
      </c>
      <c r="AE1" s="8" t="s">
        <v>764</v>
      </c>
      <c r="AF1" s="8" t="s">
        <v>764</v>
      </c>
      <c r="AG1" s="8" t="s">
        <v>765</v>
      </c>
      <c r="AH1" s="8" t="s">
        <v>765</v>
      </c>
      <c r="AI1" s="8" t="s">
        <v>766</v>
      </c>
      <c r="AJ1" s="8" t="s">
        <v>766</v>
      </c>
    </row>
    <row r="2" spans="1:36" ht="92" x14ac:dyDescent="0.2">
      <c r="A2" s="9" t="s">
        <v>35</v>
      </c>
      <c r="B2" s="12">
        <v>0</v>
      </c>
      <c r="C2" s="12">
        <v>0</v>
      </c>
      <c r="D2" s="9">
        <v>4</v>
      </c>
      <c r="E2" s="9">
        <v>4</v>
      </c>
      <c r="F2" s="9">
        <v>3</v>
      </c>
      <c r="G2" s="9" t="s">
        <v>12</v>
      </c>
      <c r="H2" s="9" t="s">
        <v>15</v>
      </c>
      <c r="I2" s="9" t="s">
        <v>61</v>
      </c>
      <c r="J2" s="9">
        <v>4</v>
      </c>
      <c r="K2" s="9" t="s">
        <v>62</v>
      </c>
      <c r="L2" s="9" t="s">
        <v>19</v>
      </c>
      <c r="M2" s="9" t="s">
        <v>12</v>
      </c>
      <c r="N2" s="9" t="s">
        <v>63</v>
      </c>
      <c r="O2" s="9" t="s">
        <v>64</v>
      </c>
      <c r="P2" s="9" t="s">
        <v>65</v>
      </c>
      <c r="Q2" s="9" t="s">
        <v>66</v>
      </c>
      <c r="R2" s="9" t="s">
        <v>67</v>
      </c>
      <c r="S2" s="9" t="s">
        <v>68</v>
      </c>
      <c r="T2" s="9" t="s">
        <v>69</v>
      </c>
      <c r="U2" s="9">
        <v>5</v>
      </c>
      <c r="V2" s="9" t="s">
        <v>26</v>
      </c>
      <c r="W2" s="9">
        <v>1</v>
      </c>
      <c r="X2" s="9" t="s">
        <v>70</v>
      </c>
      <c r="Y2" s="9" t="s">
        <v>71</v>
      </c>
      <c r="Z2" s="9" t="s">
        <v>72</v>
      </c>
      <c r="AA2" s="9" t="s">
        <v>12</v>
      </c>
      <c r="AB2" s="9" t="s">
        <v>12</v>
      </c>
      <c r="AC2" s="9" t="s">
        <v>12</v>
      </c>
      <c r="AD2" s="9" t="s">
        <v>73</v>
      </c>
      <c r="AE2" s="9" t="s">
        <v>74</v>
      </c>
      <c r="AF2" s="12" t="s">
        <v>75</v>
      </c>
      <c r="AG2" s="12">
        <v>0</v>
      </c>
      <c r="AH2" s="12">
        <v>0</v>
      </c>
      <c r="AI2" s="12">
        <v>0</v>
      </c>
      <c r="AJ2" s="12">
        <v>0</v>
      </c>
    </row>
    <row r="3" spans="1:36" ht="118" x14ac:dyDescent="0.2">
      <c r="A3" s="10" t="s">
        <v>35</v>
      </c>
      <c r="B3" s="13">
        <v>0</v>
      </c>
      <c r="C3" s="13">
        <v>0</v>
      </c>
      <c r="D3" s="55">
        <v>2</v>
      </c>
      <c r="E3" s="55">
        <v>3</v>
      </c>
      <c r="F3" s="55">
        <v>3</v>
      </c>
      <c r="G3" s="55" t="s">
        <v>12</v>
      </c>
      <c r="H3" s="9" t="s">
        <v>15</v>
      </c>
      <c r="I3" s="55" t="s">
        <v>76</v>
      </c>
      <c r="J3" s="55">
        <v>2</v>
      </c>
      <c r="K3" s="55" t="s">
        <v>62</v>
      </c>
      <c r="L3" s="55" t="s">
        <v>22</v>
      </c>
      <c r="M3" s="10" t="s">
        <v>13</v>
      </c>
      <c r="N3" s="13">
        <v>0</v>
      </c>
      <c r="O3" s="10" t="s">
        <v>66</v>
      </c>
      <c r="P3" s="10" t="s">
        <v>64</v>
      </c>
      <c r="Q3" s="10" t="s">
        <v>68</v>
      </c>
      <c r="R3" s="10" t="s">
        <v>65</v>
      </c>
      <c r="S3" s="10" t="s">
        <v>67</v>
      </c>
      <c r="T3" s="10" t="s">
        <v>69</v>
      </c>
      <c r="U3" s="10">
        <v>4</v>
      </c>
      <c r="V3" s="10" t="s">
        <v>27</v>
      </c>
      <c r="W3" s="10">
        <v>2</v>
      </c>
      <c r="X3" s="10" t="s">
        <v>77</v>
      </c>
      <c r="Y3" s="10" t="s">
        <v>78</v>
      </c>
      <c r="Z3" s="10" t="s">
        <v>79</v>
      </c>
      <c r="AA3" s="10" t="s">
        <v>13</v>
      </c>
      <c r="AB3" s="10" t="s">
        <v>12</v>
      </c>
      <c r="AC3" s="10" t="s">
        <v>12</v>
      </c>
      <c r="AD3" s="10" t="s">
        <v>80</v>
      </c>
      <c r="AE3" s="13">
        <v>0</v>
      </c>
      <c r="AF3" s="13">
        <v>0</v>
      </c>
      <c r="AG3" s="13">
        <v>0</v>
      </c>
      <c r="AH3" s="13">
        <v>0</v>
      </c>
      <c r="AI3" s="13">
        <v>0</v>
      </c>
      <c r="AJ3" s="13">
        <v>0</v>
      </c>
    </row>
    <row r="4" spans="1:36" ht="79" x14ac:dyDescent="0.2">
      <c r="A4" s="9" t="s">
        <v>35</v>
      </c>
      <c r="B4" s="12">
        <v>0</v>
      </c>
      <c r="C4" s="12">
        <v>0</v>
      </c>
      <c r="D4" s="27">
        <v>2</v>
      </c>
      <c r="E4" s="27">
        <v>3</v>
      </c>
      <c r="F4" s="27">
        <v>2</v>
      </c>
      <c r="G4" s="27" t="s">
        <v>11</v>
      </c>
      <c r="H4" s="27" t="s">
        <v>11</v>
      </c>
      <c r="I4" s="56">
        <v>0</v>
      </c>
      <c r="J4" s="27">
        <v>4</v>
      </c>
      <c r="K4" s="27" t="s">
        <v>81</v>
      </c>
      <c r="L4" s="27" t="s">
        <v>22</v>
      </c>
      <c r="M4" s="9" t="s">
        <v>13</v>
      </c>
      <c r="N4" s="9" t="s">
        <v>82</v>
      </c>
      <c r="O4" s="9" t="s">
        <v>66</v>
      </c>
      <c r="P4" s="9" t="s">
        <v>65</v>
      </c>
      <c r="Q4" s="9" t="s">
        <v>64</v>
      </c>
      <c r="R4" s="9" t="s">
        <v>68</v>
      </c>
      <c r="S4" s="9" t="s">
        <v>69</v>
      </c>
      <c r="T4" s="9" t="s">
        <v>67</v>
      </c>
      <c r="U4" s="9">
        <v>4</v>
      </c>
      <c r="V4" s="9" t="s">
        <v>26</v>
      </c>
      <c r="W4" s="9">
        <v>2</v>
      </c>
      <c r="X4" s="9" t="s">
        <v>83</v>
      </c>
      <c r="Y4" s="9" t="s">
        <v>84</v>
      </c>
      <c r="Z4" s="9" t="s">
        <v>85</v>
      </c>
      <c r="AA4" s="9" t="s">
        <v>12</v>
      </c>
      <c r="AB4" s="9" t="s">
        <v>12</v>
      </c>
      <c r="AC4" s="9" t="s">
        <v>12</v>
      </c>
      <c r="AD4" s="9" t="s">
        <v>86</v>
      </c>
      <c r="AE4" s="12">
        <v>0</v>
      </c>
      <c r="AF4" s="12">
        <v>0</v>
      </c>
      <c r="AG4" s="12">
        <v>0</v>
      </c>
      <c r="AH4" s="12">
        <v>0</v>
      </c>
      <c r="AI4" s="12">
        <v>0</v>
      </c>
      <c r="AJ4" s="12">
        <v>0</v>
      </c>
    </row>
    <row r="5" spans="1:36" ht="66" x14ac:dyDescent="0.2">
      <c r="A5" s="10" t="s">
        <v>35</v>
      </c>
      <c r="B5" s="13">
        <v>0</v>
      </c>
      <c r="C5" s="13">
        <v>0</v>
      </c>
      <c r="D5" s="55">
        <v>1</v>
      </c>
      <c r="E5" s="55">
        <v>4</v>
      </c>
      <c r="F5" s="55">
        <v>2</v>
      </c>
      <c r="G5" s="55" t="s">
        <v>11</v>
      </c>
      <c r="H5" s="55" t="s">
        <v>15</v>
      </c>
      <c r="I5" s="55" t="s">
        <v>87</v>
      </c>
      <c r="J5" s="55">
        <v>2</v>
      </c>
      <c r="K5" s="55" t="s">
        <v>88</v>
      </c>
      <c r="L5" s="55" t="s">
        <v>21</v>
      </c>
      <c r="M5" s="10" t="s">
        <v>12</v>
      </c>
      <c r="N5" s="10" t="s">
        <v>89</v>
      </c>
      <c r="O5" s="10" t="s">
        <v>66</v>
      </c>
      <c r="P5" s="10" t="s">
        <v>90</v>
      </c>
      <c r="Q5" s="10" t="s">
        <v>64</v>
      </c>
      <c r="R5" s="10" t="s">
        <v>68</v>
      </c>
      <c r="S5" s="10" t="s">
        <v>65</v>
      </c>
      <c r="T5" s="10" t="s">
        <v>67</v>
      </c>
      <c r="U5" s="10">
        <v>5</v>
      </c>
      <c r="V5" s="10" t="s">
        <v>26</v>
      </c>
      <c r="W5" s="10">
        <v>3</v>
      </c>
      <c r="X5" s="10" t="s">
        <v>91</v>
      </c>
      <c r="Y5" s="10" t="s">
        <v>92</v>
      </c>
      <c r="Z5" s="10" t="s">
        <v>72</v>
      </c>
      <c r="AA5" s="10" t="s">
        <v>12</v>
      </c>
      <c r="AB5" s="10" t="s">
        <v>12</v>
      </c>
      <c r="AC5" s="10" t="s">
        <v>12</v>
      </c>
      <c r="AD5" s="10" t="s">
        <v>93</v>
      </c>
      <c r="AE5" s="13">
        <v>0</v>
      </c>
      <c r="AF5" s="13">
        <v>0</v>
      </c>
      <c r="AG5" s="13">
        <v>0</v>
      </c>
      <c r="AH5" s="13">
        <v>0</v>
      </c>
      <c r="AI5" s="13">
        <v>0</v>
      </c>
      <c r="AJ5" s="13">
        <v>0</v>
      </c>
    </row>
    <row r="6" spans="1:36" ht="118" x14ac:dyDescent="0.2">
      <c r="A6" s="9" t="s">
        <v>35</v>
      </c>
      <c r="B6" s="12">
        <v>0</v>
      </c>
      <c r="C6" s="12">
        <v>0</v>
      </c>
      <c r="D6" s="27">
        <v>1</v>
      </c>
      <c r="E6" s="27">
        <v>3</v>
      </c>
      <c r="F6" s="27">
        <v>2</v>
      </c>
      <c r="G6" s="27" t="s">
        <v>12</v>
      </c>
      <c r="H6" s="27" t="s">
        <v>15</v>
      </c>
      <c r="I6" s="27" t="s">
        <v>94</v>
      </c>
      <c r="J6" s="27">
        <v>4</v>
      </c>
      <c r="K6" s="27" t="s">
        <v>81</v>
      </c>
      <c r="L6" s="27" t="s">
        <v>22</v>
      </c>
      <c r="M6" s="9" t="s">
        <v>12</v>
      </c>
      <c r="N6" s="9" t="s">
        <v>82</v>
      </c>
      <c r="O6" s="9" t="s">
        <v>66</v>
      </c>
      <c r="P6" s="9" t="s">
        <v>64</v>
      </c>
      <c r="Q6" s="9" t="s">
        <v>68</v>
      </c>
      <c r="R6" s="9" t="s">
        <v>65</v>
      </c>
      <c r="S6" s="9" t="s">
        <v>69</v>
      </c>
      <c r="T6" s="9" t="s">
        <v>67</v>
      </c>
      <c r="U6" s="9">
        <v>4</v>
      </c>
      <c r="V6" s="9" t="s">
        <v>27</v>
      </c>
      <c r="W6" s="9">
        <v>1</v>
      </c>
      <c r="X6" s="9" t="s">
        <v>95</v>
      </c>
      <c r="Y6" s="9" t="s">
        <v>96</v>
      </c>
      <c r="Z6" s="9" t="s">
        <v>97</v>
      </c>
      <c r="AA6" s="9" t="s">
        <v>13</v>
      </c>
      <c r="AB6" s="9" t="s">
        <v>12</v>
      </c>
      <c r="AC6" s="9" t="s">
        <v>12</v>
      </c>
      <c r="AD6" s="9" t="s">
        <v>98</v>
      </c>
      <c r="AE6" s="12">
        <v>0</v>
      </c>
      <c r="AF6" s="12">
        <v>0</v>
      </c>
      <c r="AG6" s="12">
        <v>0</v>
      </c>
      <c r="AH6" s="12">
        <v>0</v>
      </c>
      <c r="AI6" s="12">
        <v>0</v>
      </c>
      <c r="AJ6" s="12">
        <v>0</v>
      </c>
    </row>
    <row r="7" spans="1:36" ht="79" x14ac:dyDescent="0.2">
      <c r="A7" s="10" t="s">
        <v>35</v>
      </c>
      <c r="B7" s="13">
        <v>0</v>
      </c>
      <c r="C7" s="13">
        <v>0</v>
      </c>
      <c r="D7" s="55">
        <v>4</v>
      </c>
      <c r="E7" s="55">
        <v>4</v>
      </c>
      <c r="F7" s="55">
        <v>4</v>
      </c>
      <c r="G7" s="55" t="s">
        <v>11</v>
      </c>
      <c r="H7" s="55" t="s">
        <v>15</v>
      </c>
      <c r="I7" s="55" t="s">
        <v>99</v>
      </c>
      <c r="J7" s="55">
        <v>3</v>
      </c>
      <c r="K7" s="55" t="s">
        <v>81</v>
      </c>
      <c r="L7" s="55" t="s">
        <v>22</v>
      </c>
      <c r="M7" s="10" t="s">
        <v>11</v>
      </c>
      <c r="N7" s="13">
        <v>0</v>
      </c>
      <c r="O7" s="10" t="s">
        <v>64</v>
      </c>
      <c r="P7" s="10" t="s">
        <v>68</v>
      </c>
      <c r="Q7" s="10" t="s">
        <v>65</v>
      </c>
      <c r="R7" s="10" t="s">
        <v>66</v>
      </c>
      <c r="S7" s="10" t="s">
        <v>69</v>
      </c>
      <c r="T7" s="10" t="s">
        <v>67</v>
      </c>
      <c r="U7" s="10">
        <v>4</v>
      </c>
      <c r="V7" s="10" t="s">
        <v>26</v>
      </c>
      <c r="W7" s="10">
        <v>3</v>
      </c>
      <c r="X7" s="10" t="s">
        <v>100</v>
      </c>
      <c r="Y7" s="10" t="s">
        <v>84</v>
      </c>
      <c r="Z7" s="10" t="s">
        <v>101</v>
      </c>
      <c r="AA7" s="10" t="s">
        <v>13</v>
      </c>
      <c r="AB7" s="10" t="s">
        <v>12</v>
      </c>
      <c r="AC7" s="10" t="s">
        <v>12</v>
      </c>
      <c r="AD7" s="10" t="s">
        <v>162</v>
      </c>
      <c r="AE7" s="13">
        <v>0</v>
      </c>
      <c r="AF7" s="13">
        <v>0</v>
      </c>
      <c r="AG7" s="13">
        <v>0</v>
      </c>
      <c r="AH7" s="13">
        <v>0</v>
      </c>
      <c r="AI7" s="13">
        <v>0</v>
      </c>
      <c r="AJ7" s="13">
        <v>0</v>
      </c>
    </row>
    <row r="8" spans="1:36" ht="92" x14ac:dyDescent="0.2">
      <c r="A8" s="9" t="s">
        <v>35</v>
      </c>
      <c r="B8" s="12">
        <v>0</v>
      </c>
      <c r="C8" s="9" t="s">
        <v>9</v>
      </c>
      <c r="D8" s="27">
        <v>1</v>
      </c>
      <c r="E8" s="27">
        <v>3</v>
      </c>
      <c r="F8" s="27">
        <v>1</v>
      </c>
      <c r="G8" s="27" t="s">
        <v>11</v>
      </c>
      <c r="H8" s="27" t="s">
        <v>16</v>
      </c>
      <c r="I8" s="27" t="s">
        <v>102</v>
      </c>
      <c r="J8" s="27">
        <v>2</v>
      </c>
      <c r="K8" s="27" t="s">
        <v>103</v>
      </c>
      <c r="L8" s="27" t="s">
        <v>22</v>
      </c>
      <c r="M8" s="9" t="s">
        <v>12</v>
      </c>
      <c r="N8" s="9" t="s">
        <v>104</v>
      </c>
      <c r="O8" s="9" t="s">
        <v>66</v>
      </c>
      <c r="P8" s="9" t="s">
        <v>64</v>
      </c>
      <c r="Q8" s="9" t="s">
        <v>68</v>
      </c>
      <c r="R8" s="9" t="s">
        <v>65</v>
      </c>
      <c r="S8" s="9" t="s">
        <v>67</v>
      </c>
      <c r="T8" s="9" t="s">
        <v>69</v>
      </c>
      <c r="U8" s="9">
        <v>4</v>
      </c>
      <c r="V8" s="9" t="s">
        <v>26</v>
      </c>
      <c r="W8" s="9">
        <v>2</v>
      </c>
      <c r="X8" s="9" t="s">
        <v>105</v>
      </c>
      <c r="Y8" s="9" t="s">
        <v>106</v>
      </c>
      <c r="Z8" s="9" t="s">
        <v>107</v>
      </c>
      <c r="AA8" s="9" t="s">
        <v>12</v>
      </c>
      <c r="AB8" s="9" t="s">
        <v>12</v>
      </c>
      <c r="AC8" s="9" t="s">
        <v>12</v>
      </c>
      <c r="AD8" s="9" t="s">
        <v>108</v>
      </c>
      <c r="AE8" s="12">
        <v>0</v>
      </c>
      <c r="AF8" s="12">
        <v>0</v>
      </c>
      <c r="AG8" s="12">
        <v>0</v>
      </c>
      <c r="AH8" s="12">
        <v>0</v>
      </c>
      <c r="AI8" s="12">
        <v>0</v>
      </c>
      <c r="AJ8" s="12">
        <v>0</v>
      </c>
    </row>
    <row r="9" spans="1:36" ht="105" x14ac:dyDescent="0.2">
      <c r="A9" s="10" t="s">
        <v>35</v>
      </c>
      <c r="B9" s="13">
        <v>0</v>
      </c>
      <c r="C9" s="13">
        <v>0</v>
      </c>
      <c r="D9" s="55">
        <v>2</v>
      </c>
      <c r="E9" s="55">
        <v>4</v>
      </c>
      <c r="F9" s="55">
        <v>1</v>
      </c>
      <c r="G9" s="55" t="s">
        <v>12</v>
      </c>
      <c r="H9" s="55" t="s">
        <v>11</v>
      </c>
      <c r="I9" s="55" t="s">
        <v>87</v>
      </c>
      <c r="J9" s="55">
        <v>4</v>
      </c>
      <c r="K9" s="55" t="s">
        <v>81</v>
      </c>
      <c r="L9" s="55" t="s">
        <v>20</v>
      </c>
      <c r="M9" s="10" t="s">
        <v>12</v>
      </c>
      <c r="N9" s="10" t="s">
        <v>109</v>
      </c>
      <c r="O9" s="10" t="s">
        <v>66</v>
      </c>
      <c r="P9" s="10" t="s">
        <v>64</v>
      </c>
      <c r="Q9" s="10" t="s">
        <v>65</v>
      </c>
      <c r="R9" s="10" t="s">
        <v>67</v>
      </c>
      <c r="S9" s="10" t="s">
        <v>68</v>
      </c>
      <c r="T9" s="10" t="s">
        <v>69</v>
      </c>
      <c r="U9" s="10">
        <v>5</v>
      </c>
      <c r="V9" s="10" t="s">
        <v>26</v>
      </c>
      <c r="W9" s="10">
        <v>1</v>
      </c>
      <c r="X9" s="10" t="s">
        <v>110</v>
      </c>
      <c r="Y9" s="10" t="s">
        <v>111</v>
      </c>
      <c r="Z9" s="10" t="s">
        <v>112</v>
      </c>
      <c r="AA9" s="10" t="s">
        <v>12</v>
      </c>
      <c r="AB9" s="10" t="s">
        <v>12</v>
      </c>
      <c r="AC9" s="10" t="s">
        <v>12</v>
      </c>
      <c r="AD9" s="10" t="s">
        <v>113</v>
      </c>
      <c r="AE9" s="13">
        <v>0</v>
      </c>
      <c r="AF9" s="13">
        <v>0</v>
      </c>
      <c r="AG9" s="13">
        <v>0</v>
      </c>
      <c r="AH9" s="13">
        <v>0</v>
      </c>
      <c r="AI9" s="13">
        <v>0</v>
      </c>
      <c r="AJ9" s="13">
        <v>0</v>
      </c>
    </row>
    <row r="10" spans="1:36" ht="92" x14ac:dyDescent="0.2">
      <c r="A10" s="9" t="s">
        <v>35</v>
      </c>
      <c r="B10" s="12">
        <v>0</v>
      </c>
      <c r="C10" s="12">
        <v>0</v>
      </c>
      <c r="D10" s="9">
        <v>3</v>
      </c>
      <c r="E10" s="9">
        <v>4</v>
      </c>
      <c r="F10" s="9">
        <v>4</v>
      </c>
      <c r="G10" s="9" t="s">
        <v>12</v>
      </c>
      <c r="H10" s="9" t="s">
        <v>15</v>
      </c>
      <c r="I10" s="9" t="s">
        <v>114</v>
      </c>
      <c r="J10" s="9">
        <v>4</v>
      </c>
      <c r="K10" s="9" t="s">
        <v>81</v>
      </c>
      <c r="L10" s="9" t="s">
        <v>21</v>
      </c>
      <c r="M10" s="9" t="s">
        <v>12</v>
      </c>
      <c r="N10" s="9" t="s">
        <v>115</v>
      </c>
      <c r="O10" s="9" t="s">
        <v>66</v>
      </c>
      <c r="P10" s="9" t="s">
        <v>64</v>
      </c>
      <c r="Q10" s="9" t="s">
        <v>68</v>
      </c>
      <c r="R10" s="9" t="s">
        <v>65</v>
      </c>
      <c r="S10" s="9" t="s">
        <v>67</v>
      </c>
      <c r="T10" s="9" t="s">
        <v>69</v>
      </c>
      <c r="U10" s="9">
        <v>5</v>
      </c>
      <c r="V10" s="9" t="s">
        <v>27</v>
      </c>
      <c r="W10" s="9">
        <v>2</v>
      </c>
      <c r="X10" s="9" t="s">
        <v>116</v>
      </c>
      <c r="Y10" s="9" t="s">
        <v>117</v>
      </c>
      <c r="Z10" s="9" t="s">
        <v>107</v>
      </c>
      <c r="AA10" s="9">
        <v>0</v>
      </c>
      <c r="AB10" s="9" t="s">
        <v>12</v>
      </c>
      <c r="AC10" s="9" t="s">
        <v>12</v>
      </c>
      <c r="AD10" s="9" t="s">
        <v>118</v>
      </c>
      <c r="AE10" s="12">
        <v>0</v>
      </c>
      <c r="AF10" s="12">
        <v>0</v>
      </c>
      <c r="AG10" s="12">
        <v>0</v>
      </c>
      <c r="AH10" s="12">
        <v>0</v>
      </c>
      <c r="AI10" s="12">
        <v>0</v>
      </c>
      <c r="AJ10" s="12">
        <v>0</v>
      </c>
    </row>
    <row r="11" spans="1:36" ht="157" x14ac:dyDescent="0.2">
      <c r="A11" s="10" t="s">
        <v>35</v>
      </c>
      <c r="B11" s="13">
        <v>0</v>
      </c>
      <c r="C11" s="13">
        <v>0</v>
      </c>
      <c r="D11" s="10">
        <v>1</v>
      </c>
      <c r="E11" s="10">
        <v>3</v>
      </c>
      <c r="F11" s="10">
        <v>3</v>
      </c>
      <c r="G11" s="10" t="s">
        <v>12</v>
      </c>
      <c r="H11" s="10" t="s">
        <v>11</v>
      </c>
      <c r="I11" s="10" t="s">
        <v>119</v>
      </c>
      <c r="J11" s="10">
        <v>2</v>
      </c>
      <c r="K11" s="10" t="s">
        <v>103</v>
      </c>
      <c r="L11" s="10" t="s">
        <v>23</v>
      </c>
      <c r="M11" s="10" t="s">
        <v>13</v>
      </c>
      <c r="N11" s="10" t="s">
        <v>120</v>
      </c>
      <c r="O11" s="10" t="s">
        <v>69</v>
      </c>
      <c r="P11" s="10" t="s">
        <v>68</v>
      </c>
      <c r="Q11" s="10" t="s">
        <v>66</v>
      </c>
      <c r="R11" s="10" t="s">
        <v>65</v>
      </c>
      <c r="S11" s="10" t="s">
        <v>64</v>
      </c>
      <c r="T11" s="10" t="s">
        <v>67</v>
      </c>
      <c r="U11" s="10">
        <v>4</v>
      </c>
      <c r="V11" s="10" t="s">
        <v>27</v>
      </c>
      <c r="W11" s="10">
        <v>1</v>
      </c>
      <c r="X11" s="10" t="s">
        <v>121</v>
      </c>
      <c r="Y11" s="10" t="s">
        <v>122</v>
      </c>
      <c r="Z11" s="10" t="s">
        <v>123</v>
      </c>
      <c r="AA11" s="10" t="s">
        <v>12</v>
      </c>
      <c r="AB11" s="10" t="s">
        <v>12</v>
      </c>
      <c r="AC11" s="10" t="s">
        <v>12</v>
      </c>
      <c r="AD11" s="10" t="s">
        <v>124</v>
      </c>
      <c r="AE11" s="13">
        <v>0</v>
      </c>
      <c r="AF11" s="13">
        <v>0</v>
      </c>
      <c r="AG11" s="13">
        <v>0</v>
      </c>
      <c r="AH11" s="13">
        <v>0</v>
      </c>
      <c r="AI11" s="13">
        <v>0</v>
      </c>
      <c r="AJ11" s="13">
        <v>0</v>
      </c>
    </row>
    <row r="12" spans="1:36" ht="79" x14ac:dyDescent="0.2">
      <c r="A12" s="9" t="s">
        <v>35</v>
      </c>
      <c r="B12" s="12">
        <v>0</v>
      </c>
      <c r="C12" s="12">
        <v>0</v>
      </c>
      <c r="D12" s="9">
        <v>3</v>
      </c>
      <c r="E12" s="9">
        <v>4</v>
      </c>
      <c r="F12" s="9">
        <v>4</v>
      </c>
      <c r="G12" s="9" t="s">
        <v>13</v>
      </c>
      <c r="H12" s="9" t="s">
        <v>15</v>
      </c>
      <c r="I12" s="9" t="s">
        <v>125</v>
      </c>
      <c r="J12" s="9">
        <v>2</v>
      </c>
      <c r="K12" s="9" t="s">
        <v>81</v>
      </c>
      <c r="L12" s="9" t="s">
        <v>22</v>
      </c>
      <c r="M12" s="9" t="s">
        <v>13</v>
      </c>
      <c r="N12" s="9" t="s">
        <v>126</v>
      </c>
      <c r="O12" s="9" t="s">
        <v>64</v>
      </c>
      <c r="P12" s="9" t="s">
        <v>66</v>
      </c>
      <c r="Q12" s="9" t="s">
        <v>68</v>
      </c>
      <c r="R12" s="9" t="s">
        <v>65</v>
      </c>
      <c r="S12" s="9" t="s">
        <v>67</v>
      </c>
      <c r="T12" s="9" t="s">
        <v>69</v>
      </c>
      <c r="U12" s="9">
        <v>4</v>
      </c>
      <c r="V12" s="9" t="s">
        <v>26</v>
      </c>
      <c r="W12" s="9">
        <v>2</v>
      </c>
      <c r="X12" s="9" t="s">
        <v>127</v>
      </c>
      <c r="Y12" s="9" t="s">
        <v>128</v>
      </c>
      <c r="Z12" s="9" t="s">
        <v>97</v>
      </c>
      <c r="AA12" s="9" t="s">
        <v>12</v>
      </c>
      <c r="AB12" s="9" t="s">
        <v>12</v>
      </c>
      <c r="AC12" s="9" t="s">
        <v>12</v>
      </c>
      <c r="AD12" s="9" t="s">
        <v>129</v>
      </c>
      <c r="AE12" s="12">
        <v>0</v>
      </c>
      <c r="AF12" s="12">
        <v>0</v>
      </c>
      <c r="AG12" s="12">
        <v>0</v>
      </c>
      <c r="AH12" s="12">
        <v>0</v>
      </c>
      <c r="AI12" s="12">
        <v>0</v>
      </c>
      <c r="AJ12" s="12">
        <v>0</v>
      </c>
    </row>
    <row r="13" spans="1:36" ht="131" x14ac:dyDescent="0.2">
      <c r="A13" s="10" t="s">
        <v>35</v>
      </c>
      <c r="B13" s="13">
        <v>0</v>
      </c>
      <c r="C13" s="13">
        <v>0</v>
      </c>
      <c r="D13" s="10">
        <v>1</v>
      </c>
      <c r="E13" s="10">
        <v>3</v>
      </c>
      <c r="F13" s="10">
        <v>1</v>
      </c>
      <c r="G13" s="10" t="s">
        <v>13</v>
      </c>
      <c r="H13" s="10" t="s">
        <v>11</v>
      </c>
      <c r="I13" s="13">
        <v>0</v>
      </c>
      <c r="J13" s="10">
        <v>2</v>
      </c>
      <c r="K13" s="10" t="s">
        <v>81</v>
      </c>
      <c r="L13" s="10" t="s">
        <v>23</v>
      </c>
      <c r="M13" s="10" t="s">
        <v>12</v>
      </c>
      <c r="N13" s="10" t="s">
        <v>130</v>
      </c>
      <c r="O13" s="10" t="s">
        <v>69</v>
      </c>
      <c r="P13" s="10" t="s">
        <v>66</v>
      </c>
      <c r="Q13" s="10" t="s">
        <v>64</v>
      </c>
      <c r="R13" s="10" t="s">
        <v>68</v>
      </c>
      <c r="S13" s="10" t="s">
        <v>67</v>
      </c>
      <c r="T13" s="10" t="s">
        <v>65</v>
      </c>
      <c r="U13" s="10">
        <v>4</v>
      </c>
      <c r="V13" s="10" t="s">
        <v>27</v>
      </c>
      <c r="W13" s="10">
        <v>1</v>
      </c>
      <c r="X13" s="10" t="s">
        <v>131</v>
      </c>
      <c r="Y13" s="10" t="s">
        <v>132</v>
      </c>
      <c r="Z13" s="10" t="s">
        <v>133</v>
      </c>
      <c r="AA13" s="10" t="s">
        <v>11</v>
      </c>
      <c r="AB13" s="10" t="s">
        <v>12</v>
      </c>
      <c r="AC13" s="10" t="s">
        <v>12</v>
      </c>
      <c r="AD13" s="10" t="s">
        <v>134</v>
      </c>
      <c r="AE13" s="13">
        <v>0</v>
      </c>
      <c r="AF13" s="13">
        <v>0</v>
      </c>
      <c r="AG13" s="13">
        <v>0</v>
      </c>
      <c r="AH13" s="13">
        <v>0</v>
      </c>
      <c r="AI13" s="13">
        <v>0</v>
      </c>
      <c r="AJ13" s="13">
        <v>0</v>
      </c>
    </row>
    <row r="14" spans="1:36" ht="131" x14ac:dyDescent="0.2">
      <c r="A14" s="9" t="s">
        <v>36</v>
      </c>
      <c r="B14" s="9" t="s">
        <v>2</v>
      </c>
      <c r="C14" s="9" t="s">
        <v>7</v>
      </c>
      <c r="D14" s="9">
        <v>4</v>
      </c>
      <c r="E14" s="9">
        <v>5</v>
      </c>
      <c r="F14" s="9">
        <v>3</v>
      </c>
      <c r="G14" s="9" t="s">
        <v>11</v>
      </c>
      <c r="H14" s="9" t="s">
        <v>15</v>
      </c>
      <c r="I14" s="9" t="s">
        <v>99</v>
      </c>
      <c r="J14" s="9">
        <v>4</v>
      </c>
      <c r="K14" s="9" t="s">
        <v>103</v>
      </c>
      <c r="L14" s="9" t="s">
        <v>20</v>
      </c>
      <c r="M14" s="9" t="s">
        <v>11</v>
      </c>
      <c r="N14" s="9" t="s">
        <v>135</v>
      </c>
      <c r="O14" s="9" t="s">
        <v>68</v>
      </c>
      <c r="P14" s="9" t="s">
        <v>66</v>
      </c>
      <c r="Q14" s="9" t="s">
        <v>65</v>
      </c>
      <c r="R14" s="9" t="s">
        <v>64</v>
      </c>
      <c r="S14" s="9" t="s">
        <v>67</v>
      </c>
      <c r="T14" s="9" t="s">
        <v>69</v>
      </c>
      <c r="U14" s="9">
        <v>5</v>
      </c>
      <c r="V14" s="9" t="s">
        <v>26</v>
      </c>
      <c r="W14" s="9">
        <v>3</v>
      </c>
      <c r="X14" s="9" t="s">
        <v>136</v>
      </c>
      <c r="Y14" s="9" t="s">
        <v>137</v>
      </c>
      <c r="Z14" s="9" t="s">
        <v>138</v>
      </c>
      <c r="AA14" s="9" t="s">
        <v>13</v>
      </c>
      <c r="AB14" s="9" t="s">
        <v>12</v>
      </c>
      <c r="AC14" s="9" t="s">
        <v>12</v>
      </c>
      <c r="AD14" s="9" t="s">
        <v>139</v>
      </c>
      <c r="AE14" s="12">
        <v>0</v>
      </c>
      <c r="AF14" s="9">
        <v>0</v>
      </c>
      <c r="AG14" s="9" t="s">
        <v>140</v>
      </c>
      <c r="AH14" s="9" t="s">
        <v>539</v>
      </c>
      <c r="AI14" s="9" t="s">
        <v>141</v>
      </c>
      <c r="AJ14" s="9" t="s">
        <v>142</v>
      </c>
    </row>
    <row r="15" spans="1:36" ht="53" x14ac:dyDescent="0.2">
      <c r="A15" s="10" t="s">
        <v>36</v>
      </c>
      <c r="B15" s="10" t="s">
        <v>4</v>
      </c>
      <c r="C15" s="10" t="s">
        <v>7</v>
      </c>
      <c r="D15" s="10">
        <v>4</v>
      </c>
      <c r="E15" s="10">
        <v>4</v>
      </c>
      <c r="F15" s="10">
        <v>4</v>
      </c>
      <c r="G15" s="10" t="s">
        <v>11</v>
      </c>
      <c r="H15" s="10" t="s">
        <v>15</v>
      </c>
      <c r="I15" s="10" t="s">
        <v>94</v>
      </c>
      <c r="J15" s="10">
        <v>4</v>
      </c>
      <c r="K15" s="10" t="s">
        <v>88</v>
      </c>
      <c r="L15" s="10" t="s">
        <v>21</v>
      </c>
      <c r="M15" s="10" t="s">
        <v>12</v>
      </c>
      <c r="N15" s="10" t="s">
        <v>143</v>
      </c>
      <c r="O15" s="10" t="s">
        <v>64</v>
      </c>
      <c r="P15" s="10" t="s">
        <v>65</v>
      </c>
      <c r="Q15" s="10" t="s">
        <v>68</v>
      </c>
      <c r="R15" s="10" t="s">
        <v>66</v>
      </c>
      <c r="S15" s="10" t="s">
        <v>69</v>
      </c>
      <c r="T15" s="10" t="s">
        <v>67</v>
      </c>
      <c r="U15" s="10">
        <v>4</v>
      </c>
      <c r="V15" s="10" t="s">
        <v>27</v>
      </c>
      <c r="W15" s="10">
        <v>1</v>
      </c>
      <c r="X15" s="10" t="s">
        <v>144</v>
      </c>
      <c r="Y15" s="10" t="s">
        <v>145</v>
      </c>
      <c r="Z15" s="10" t="s">
        <v>146</v>
      </c>
      <c r="AA15" s="10" t="s">
        <v>11</v>
      </c>
      <c r="AB15" s="10" t="s">
        <v>12</v>
      </c>
      <c r="AC15" s="10" t="s">
        <v>12</v>
      </c>
      <c r="AD15" s="10" t="s">
        <v>93</v>
      </c>
      <c r="AE15" s="13">
        <v>0</v>
      </c>
      <c r="AF15" s="13">
        <v>0</v>
      </c>
      <c r="AG15" s="13">
        <v>0</v>
      </c>
      <c r="AH15" s="13">
        <v>0</v>
      </c>
      <c r="AI15" s="13">
        <v>0</v>
      </c>
      <c r="AJ15" s="13">
        <v>0</v>
      </c>
    </row>
    <row r="16" spans="1:36" ht="79" x14ac:dyDescent="0.2">
      <c r="A16" s="9" t="s">
        <v>36</v>
      </c>
      <c r="B16" s="9" t="s">
        <v>4</v>
      </c>
      <c r="C16" s="9" t="s">
        <v>7</v>
      </c>
      <c r="D16" s="9">
        <v>3</v>
      </c>
      <c r="E16" s="9">
        <v>5</v>
      </c>
      <c r="F16" s="9">
        <v>4</v>
      </c>
      <c r="G16" s="9" t="s">
        <v>11</v>
      </c>
      <c r="H16" s="9" t="s">
        <v>15</v>
      </c>
      <c r="I16" s="9" t="s">
        <v>147</v>
      </c>
      <c r="J16" s="9">
        <v>5</v>
      </c>
      <c r="K16" s="9" t="s">
        <v>88</v>
      </c>
      <c r="L16" s="9" t="s">
        <v>21</v>
      </c>
      <c r="M16" s="9" t="s">
        <v>12</v>
      </c>
      <c r="N16" s="9" t="s">
        <v>148</v>
      </c>
      <c r="O16" s="9" t="s">
        <v>65</v>
      </c>
      <c r="P16" s="9" t="s">
        <v>66</v>
      </c>
      <c r="Q16" s="9" t="s">
        <v>67</v>
      </c>
      <c r="R16" s="9" t="s">
        <v>64</v>
      </c>
      <c r="S16" s="9" t="s">
        <v>68</v>
      </c>
      <c r="T16" s="9" t="s">
        <v>69</v>
      </c>
      <c r="U16" s="9">
        <v>5</v>
      </c>
      <c r="V16" s="9" t="s">
        <v>26</v>
      </c>
      <c r="W16" s="9">
        <v>2</v>
      </c>
      <c r="X16" s="9" t="s">
        <v>149</v>
      </c>
      <c r="Y16" s="9" t="s">
        <v>106</v>
      </c>
      <c r="Z16" s="9" t="s">
        <v>150</v>
      </c>
      <c r="AA16" s="9" t="s">
        <v>11</v>
      </c>
      <c r="AB16" s="9" t="s">
        <v>12</v>
      </c>
      <c r="AC16" s="9" t="s">
        <v>12</v>
      </c>
      <c r="AD16" s="9" t="s">
        <v>151</v>
      </c>
      <c r="AE16" s="12">
        <v>0</v>
      </c>
      <c r="AF16" s="12">
        <v>0</v>
      </c>
      <c r="AG16" s="12">
        <v>0</v>
      </c>
      <c r="AH16" s="12">
        <v>0</v>
      </c>
      <c r="AI16" s="12">
        <v>0</v>
      </c>
      <c r="AJ16" s="12">
        <v>0</v>
      </c>
    </row>
    <row r="17" spans="1:36" ht="118" x14ac:dyDescent="0.2">
      <c r="A17" s="10" t="s">
        <v>36</v>
      </c>
      <c r="B17" s="10" t="s">
        <v>4</v>
      </c>
      <c r="C17" s="10" t="s">
        <v>7</v>
      </c>
      <c r="D17" s="10">
        <v>2</v>
      </c>
      <c r="E17" s="10">
        <v>3</v>
      </c>
      <c r="F17" s="10">
        <v>2</v>
      </c>
      <c r="G17" s="10" t="s">
        <v>11</v>
      </c>
      <c r="H17" s="10" t="s">
        <v>16</v>
      </c>
      <c r="I17" s="10" t="s">
        <v>152</v>
      </c>
      <c r="J17" s="10">
        <v>3</v>
      </c>
      <c r="K17" s="10" t="s">
        <v>88</v>
      </c>
      <c r="L17" s="10" t="s">
        <v>21</v>
      </c>
      <c r="M17" s="10" t="s">
        <v>13</v>
      </c>
      <c r="N17" s="13">
        <v>0</v>
      </c>
      <c r="O17" s="10" t="s">
        <v>64</v>
      </c>
      <c r="P17" s="10" t="s">
        <v>67</v>
      </c>
      <c r="Q17" s="10" t="s">
        <v>153</v>
      </c>
      <c r="R17" s="10" t="s">
        <v>68</v>
      </c>
      <c r="S17" s="10" t="s">
        <v>69</v>
      </c>
      <c r="T17" s="10" t="s">
        <v>67</v>
      </c>
      <c r="U17" s="10">
        <v>4</v>
      </c>
      <c r="V17" s="10" t="s">
        <v>26</v>
      </c>
      <c r="W17" s="10">
        <v>2</v>
      </c>
      <c r="X17" s="10" t="s">
        <v>154</v>
      </c>
      <c r="Y17" s="10" t="s">
        <v>155</v>
      </c>
      <c r="Z17" s="10" t="s">
        <v>156</v>
      </c>
      <c r="AA17" s="10" t="s">
        <v>12</v>
      </c>
      <c r="AB17" s="10" t="s">
        <v>12</v>
      </c>
      <c r="AC17" s="10" t="s">
        <v>12</v>
      </c>
      <c r="AD17" s="10" t="s">
        <v>157</v>
      </c>
      <c r="AE17" s="13">
        <v>0</v>
      </c>
      <c r="AF17" s="13">
        <v>0</v>
      </c>
      <c r="AG17" s="13">
        <v>0</v>
      </c>
      <c r="AH17" s="13">
        <v>0</v>
      </c>
      <c r="AI17" s="13">
        <v>0</v>
      </c>
      <c r="AJ17" s="13">
        <v>0</v>
      </c>
    </row>
    <row r="18" spans="1:36" ht="66" x14ac:dyDescent="0.2">
      <c r="A18" s="9" t="s">
        <v>36</v>
      </c>
      <c r="B18" s="9" t="s">
        <v>5</v>
      </c>
      <c r="C18" s="9" t="s">
        <v>7</v>
      </c>
      <c r="D18" s="9">
        <v>3</v>
      </c>
      <c r="E18" s="9">
        <v>3</v>
      </c>
      <c r="F18" s="9">
        <v>3</v>
      </c>
      <c r="G18" s="9" t="s">
        <v>11</v>
      </c>
      <c r="H18" s="9" t="s">
        <v>15</v>
      </c>
      <c r="I18" s="9" t="s">
        <v>158</v>
      </c>
      <c r="J18" s="9">
        <v>4</v>
      </c>
      <c r="K18" s="9" t="s">
        <v>81</v>
      </c>
      <c r="L18" s="9" t="s">
        <v>20</v>
      </c>
      <c r="M18" s="9" t="s">
        <v>12</v>
      </c>
      <c r="N18" s="9" t="s">
        <v>159</v>
      </c>
      <c r="O18" s="9" t="s">
        <v>66</v>
      </c>
      <c r="P18" s="9" t="s">
        <v>67</v>
      </c>
      <c r="Q18" s="9" t="s">
        <v>65</v>
      </c>
      <c r="R18" s="9" t="s">
        <v>68</v>
      </c>
      <c r="S18" s="9" t="s">
        <v>69</v>
      </c>
      <c r="T18" s="9" t="s">
        <v>64</v>
      </c>
      <c r="U18" s="9">
        <v>5</v>
      </c>
      <c r="V18" s="9" t="s">
        <v>26</v>
      </c>
      <c r="W18" s="9">
        <v>2</v>
      </c>
      <c r="X18" s="9" t="s">
        <v>160</v>
      </c>
      <c r="Y18" s="9" t="s">
        <v>145</v>
      </c>
      <c r="Z18" s="9" t="s">
        <v>161</v>
      </c>
      <c r="AA18" s="9" t="s">
        <v>12</v>
      </c>
      <c r="AB18" s="9" t="s">
        <v>12</v>
      </c>
      <c r="AC18" s="9" t="s">
        <v>12</v>
      </c>
      <c r="AD18" s="9" t="s">
        <v>162</v>
      </c>
      <c r="AE18" s="12">
        <v>0</v>
      </c>
      <c r="AF18" s="12">
        <v>0</v>
      </c>
      <c r="AG18" s="12">
        <v>0</v>
      </c>
      <c r="AH18" s="12">
        <v>0</v>
      </c>
      <c r="AI18" s="12">
        <v>0</v>
      </c>
      <c r="AJ18" s="12">
        <v>0</v>
      </c>
    </row>
    <row r="19" spans="1:36" ht="53" x14ac:dyDescent="0.2">
      <c r="A19" s="10" t="s">
        <v>36</v>
      </c>
      <c r="B19" s="10" t="s">
        <v>3</v>
      </c>
      <c r="C19" s="10" t="s">
        <v>7</v>
      </c>
      <c r="D19" s="10">
        <v>2</v>
      </c>
      <c r="E19" s="10">
        <v>3</v>
      </c>
      <c r="F19" s="10">
        <v>3</v>
      </c>
      <c r="G19" s="10" t="s">
        <v>11</v>
      </c>
      <c r="H19" s="10" t="s">
        <v>15</v>
      </c>
      <c r="I19" s="10" t="s">
        <v>94</v>
      </c>
      <c r="J19" s="10">
        <v>5</v>
      </c>
      <c r="K19" s="10" t="s">
        <v>88</v>
      </c>
      <c r="L19" s="10" t="s">
        <v>20</v>
      </c>
      <c r="M19" s="10" t="s">
        <v>11</v>
      </c>
      <c r="N19" s="13">
        <v>0</v>
      </c>
      <c r="O19" s="10" t="s">
        <v>64</v>
      </c>
      <c r="P19" s="10" t="s">
        <v>66</v>
      </c>
      <c r="Q19" s="10" t="s">
        <v>68</v>
      </c>
      <c r="R19" s="10" t="s">
        <v>67</v>
      </c>
      <c r="S19" s="10" t="s">
        <v>65</v>
      </c>
      <c r="T19" s="10" t="s">
        <v>69</v>
      </c>
      <c r="U19" s="10">
        <v>4</v>
      </c>
      <c r="V19" s="10" t="s">
        <v>26</v>
      </c>
      <c r="W19" s="10">
        <v>3</v>
      </c>
      <c r="X19" s="10" t="s">
        <v>163</v>
      </c>
      <c r="Y19" s="10" t="s">
        <v>164</v>
      </c>
      <c r="Z19" s="10" t="s">
        <v>165</v>
      </c>
      <c r="AA19" s="10" t="s">
        <v>12</v>
      </c>
      <c r="AB19" s="10" t="s">
        <v>12</v>
      </c>
      <c r="AC19" s="10" t="s">
        <v>12</v>
      </c>
      <c r="AD19" s="10" t="s">
        <v>157</v>
      </c>
      <c r="AE19" s="13">
        <v>0</v>
      </c>
      <c r="AF19" s="13">
        <v>0</v>
      </c>
      <c r="AG19" s="13">
        <v>0</v>
      </c>
      <c r="AH19" s="13">
        <v>0</v>
      </c>
      <c r="AI19" s="13">
        <v>0</v>
      </c>
      <c r="AJ19" s="13">
        <v>0</v>
      </c>
    </row>
    <row r="20" spans="1:36" ht="105" x14ac:dyDescent="0.2">
      <c r="A20" s="9" t="s">
        <v>36</v>
      </c>
      <c r="B20" s="9" t="s">
        <v>4</v>
      </c>
      <c r="C20" s="9" t="s">
        <v>7</v>
      </c>
      <c r="D20" s="9">
        <v>1</v>
      </c>
      <c r="E20" s="9">
        <v>4</v>
      </c>
      <c r="F20" s="9">
        <v>2</v>
      </c>
      <c r="G20" s="9" t="s">
        <v>13</v>
      </c>
      <c r="H20" s="9" t="s">
        <v>11</v>
      </c>
      <c r="I20" s="12">
        <v>0</v>
      </c>
      <c r="J20" s="9">
        <v>2</v>
      </c>
      <c r="K20" s="9" t="s">
        <v>167</v>
      </c>
      <c r="L20" s="9" t="s">
        <v>21</v>
      </c>
      <c r="M20" s="9" t="s">
        <v>13</v>
      </c>
      <c r="N20" s="12">
        <v>0</v>
      </c>
      <c r="O20" s="9" t="s">
        <v>69</v>
      </c>
      <c r="P20" s="9" t="s">
        <v>64</v>
      </c>
      <c r="Q20" s="9" t="s">
        <v>66</v>
      </c>
      <c r="R20" s="9" t="s">
        <v>65</v>
      </c>
      <c r="S20" s="9" t="s">
        <v>68</v>
      </c>
      <c r="T20" s="9" t="s">
        <v>67</v>
      </c>
      <c r="U20" s="9">
        <v>5</v>
      </c>
      <c r="V20" s="9" t="s">
        <v>27</v>
      </c>
      <c r="W20" s="9">
        <v>3</v>
      </c>
      <c r="X20" s="9" t="s">
        <v>95</v>
      </c>
      <c r="Y20" s="9" t="s">
        <v>92</v>
      </c>
      <c r="Z20" s="9" t="s">
        <v>168</v>
      </c>
      <c r="AA20" s="9" t="s">
        <v>13</v>
      </c>
      <c r="AB20" s="9" t="s">
        <v>12</v>
      </c>
      <c r="AC20" s="9" t="s">
        <v>12</v>
      </c>
      <c r="AD20" s="9" t="s">
        <v>169</v>
      </c>
      <c r="AE20" s="12">
        <v>0</v>
      </c>
      <c r="AF20" s="12">
        <v>0</v>
      </c>
      <c r="AG20" s="12">
        <v>0</v>
      </c>
      <c r="AH20" s="12">
        <v>0</v>
      </c>
      <c r="AI20" s="12">
        <v>0</v>
      </c>
      <c r="AJ20" s="12">
        <v>0</v>
      </c>
    </row>
    <row r="21" spans="1:36" ht="92" x14ac:dyDescent="0.2">
      <c r="A21" s="10" t="s">
        <v>36</v>
      </c>
      <c r="B21" s="10" t="s">
        <v>2</v>
      </c>
      <c r="C21" s="10" t="s">
        <v>7</v>
      </c>
      <c r="D21" s="10">
        <v>4</v>
      </c>
      <c r="E21" s="10">
        <v>5</v>
      </c>
      <c r="F21" s="10">
        <v>3</v>
      </c>
      <c r="G21" s="10" t="s">
        <v>11</v>
      </c>
      <c r="H21" s="10" t="s">
        <v>11</v>
      </c>
      <c r="I21" s="13">
        <v>0</v>
      </c>
      <c r="J21" s="10">
        <v>3</v>
      </c>
      <c r="K21" s="10" t="s">
        <v>88</v>
      </c>
      <c r="L21" s="10" t="s">
        <v>22</v>
      </c>
      <c r="M21" s="10" t="s">
        <v>12</v>
      </c>
      <c r="N21" s="10" t="s">
        <v>170</v>
      </c>
      <c r="O21" s="10" t="s">
        <v>69</v>
      </c>
      <c r="P21" s="10" t="s">
        <v>69</v>
      </c>
      <c r="Q21" s="10" t="s">
        <v>69</v>
      </c>
      <c r="R21" s="10" t="s">
        <v>68</v>
      </c>
      <c r="S21" s="10" t="s">
        <v>68</v>
      </c>
      <c r="T21" s="10" t="s">
        <v>68</v>
      </c>
      <c r="U21" s="10">
        <v>5</v>
      </c>
      <c r="V21" s="10" t="s">
        <v>26</v>
      </c>
      <c r="W21" s="10">
        <v>2</v>
      </c>
      <c r="X21" s="10" t="s">
        <v>171</v>
      </c>
      <c r="Y21" s="10" t="s">
        <v>96</v>
      </c>
      <c r="Z21" s="10" t="s">
        <v>172</v>
      </c>
      <c r="AA21" s="10" t="s">
        <v>13</v>
      </c>
      <c r="AB21" s="10" t="s">
        <v>12</v>
      </c>
      <c r="AC21" s="10" t="s">
        <v>12</v>
      </c>
      <c r="AD21" s="10" t="s">
        <v>169</v>
      </c>
      <c r="AE21" s="13">
        <v>0</v>
      </c>
      <c r="AF21" s="13">
        <v>0</v>
      </c>
      <c r="AG21" s="13">
        <v>0</v>
      </c>
      <c r="AH21" s="13">
        <v>0</v>
      </c>
      <c r="AI21" s="13">
        <v>0</v>
      </c>
      <c r="AJ21" s="13">
        <v>0</v>
      </c>
    </row>
    <row r="22" spans="1:36" ht="92" x14ac:dyDescent="0.2">
      <c r="A22" s="9" t="s">
        <v>36</v>
      </c>
      <c r="B22" s="9" t="s">
        <v>5</v>
      </c>
      <c r="C22" s="9" t="s">
        <v>7</v>
      </c>
      <c r="D22" s="9">
        <v>3</v>
      </c>
      <c r="E22" s="9">
        <v>2</v>
      </c>
      <c r="F22" s="9">
        <v>3</v>
      </c>
      <c r="G22" s="9" t="s">
        <v>11</v>
      </c>
      <c r="H22" s="9" t="s">
        <v>11</v>
      </c>
      <c r="I22" s="12">
        <v>0</v>
      </c>
      <c r="J22" s="9">
        <v>4</v>
      </c>
      <c r="K22" s="9" t="s">
        <v>81</v>
      </c>
      <c r="L22" s="9" t="s">
        <v>21</v>
      </c>
      <c r="M22" s="9" t="s">
        <v>11</v>
      </c>
      <c r="N22" s="12">
        <v>0</v>
      </c>
      <c r="O22" s="9" t="s">
        <v>66</v>
      </c>
      <c r="P22" s="9" t="s">
        <v>68</v>
      </c>
      <c r="Q22" s="9" t="s">
        <v>65</v>
      </c>
      <c r="R22" s="9" t="s">
        <v>67</v>
      </c>
      <c r="S22" s="9" t="s">
        <v>64</v>
      </c>
      <c r="T22" s="9" t="s">
        <v>69</v>
      </c>
      <c r="U22" s="9">
        <v>3</v>
      </c>
      <c r="V22" s="9" t="s">
        <v>27</v>
      </c>
      <c r="W22" s="9">
        <v>2</v>
      </c>
      <c r="X22" s="9" t="s">
        <v>173</v>
      </c>
      <c r="Y22" s="9" t="s">
        <v>174</v>
      </c>
      <c r="Z22" s="9" t="s">
        <v>175</v>
      </c>
      <c r="AA22" s="9" t="s">
        <v>12</v>
      </c>
      <c r="AB22" s="9" t="s">
        <v>12</v>
      </c>
      <c r="AC22" s="9" t="s">
        <v>12</v>
      </c>
      <c r="AD22" s="9" t="s">
        <v>176</v>
      </c>
      <c r="AE22" s="12">
        <v>0</v>
      </c>
      <c r="AF22" s="12">
        <v>0</v>
      </c>
      <c r="AG22" s="12">
        <v>0</v>
      </c>
      <c r="AH22" s="12">
        <v>0</v>
      </c>
      <c r="AI22" s="12">
        <v>0</v>
      </c>
      <c r="AJ22" s="12">
        <v>0</v>
      </c>
    </row>
    <row r="23" spans="1:36" ht="92" x14ac:dyDescent="0.2">
      <c r="A23" s="10" t="s">
        <v>36</v>
      </c>
      <c r="B23" s="10" t="s">
        <v>5</v>
      </c>
      <c r="C23" s="10" t="s">
        <v>7</v>
      </c>
      <c r="D23" s="10">
        <v>1</v>
      </c>
      <c r="E23" s="10">
        <v>4</v>
      </c>
      <c r="F23" s="10">
        <v>1</v>
      </c>
      <c r="G23" s="10" t="s">
        <v>11</v>
      </c>
      <c r="H23" s="10" t="s">
        <v>11</v>
      </c>
      <c r="I23" s="13">
        <v>0</v>
      </c>
      <c r="J23" s="10">
        <v>3</v>
      </c>
      <c r="K23" s="10" t="s">
        <v>81</v>
      </c>
      <c r="L23" s="10" t="s">
        <v>22</v>
      </c>
      <c r="M23" s="10" t="s">
        <v>12</v>
      </c>
      <c r="N23" s="10" t="s">
        <v>177</v>
      </c>
      <c r="O23" s="10" t="s">
        <v>64</v>
      </c>
      <c r="P23" s="10" t="s">
        <v>67</v>
      </c>
      <c r="Q23" s="10" t="s">
        <v>66</v>
      </c>
      <c r="R23" s="10" t="s">
        <v>68</v>
      </c>
      <c r="S23" s="10" t="s">
        <v>69</v>
      </c>
      <c r="T23" s="10" t="s">
        <v>65</v>
      </c>
      <c r="U23" s="10">
        <v>4</v>
      </c>
      <c r="V23" s="10" t="s">
        <v>26</v>
      </c>
      <c r="W23" s="10">
        <v>1</v>
      </c>
      <c r="X23" s="10" t="s">
        <v>178</v>
      </c>
      <c r="Y23" s="10" t="s">
        <v>179</v>
      </c>
      <c r="Z23" s="10" t="s">
        <v>180</v>
      </c>
      <c r="AA23" s="10" t="s">
        <v>13</v>
      </c>
      <c r="AB23" s="10" t="s">
        <v>13</v>
      </c>
      <c r="AC23" s="10" t="s">
        <v>13</v>
      </c>
      <c r="AD23" s="10" t="s">
        <v>181</v>
      </c>
      <c r="AE23" s="13">
        <v>0</v>
      </c>
      <c r="AF23" s="13">
        <v>0</v>
      </c>
      <c r="AG23" s="13">
        <v>0</v>
      </c>
      <c r="AH23" s="13">
        <v>0</v>
      </c>
      <c r="AI23" s="13">
        <v>0</v>
      </c>
      <c r="AJ23" s="13">
        <v>0</v>
      </c>
    </row>
    <row r="24" spans="1:36" ht="144" x14ac:dyDescent="0.2">
      <c r="A24" s="9" t="s">
        <v>36</v>
      </c>
      <c r="B24" s="9" t="s">
        <v>5</v>
      </c>
      <c r="C24" s="9" t="s">
        <v>7</v>
      </c>
      <c r="D24" s="9">
        <v>2</v>
      </c>
      <c r="E24" s="9">
        <v>3</v>
      </c>
      <c r="F24" s="9">
        <v>4</v>
      </c>
      <c r="G24" s="9" t="s">
        <v>12</v>
      </c>
      <c r="H24" s="9" t="s">
        <v>16</v>
      </c>
      <c r="I24" s="9" t="s">
        <v>182</v>
      </c>
      <c r="J24" s="9">
        <v>5</v>
      </c>
      <c r="K24" s="9" t="s">
        <v>81</v>
      </c>
      <c r="L24" s="9" t="s">
        <v>21</v>
      </c>
      <c r="M24" s="9" t="s">
        <v>11</v>
      </c>
      <c r="N24" s="12">
        <v>0</v>
      </c>
      <c r="O24" s="9" t="s">
        <v>66</v>
      </c>
      <c r="P24" s="9" t="s">
        <v>64</v>
      </c>
      <c r="Q24" s="9" t="s">
        <v>67</v>
      </c>
      <c r="R24" s="9" t="s">
        <v>68</v>
      </c>
      <c r="S24" s="9" t="s">
        <v>65</v>
      </c>
      <c r="T24" s="9" t="s">
        <v>69</v>
      </c>
      <c r="U24" s="9">
        <v>3</v>
      </c>
      <c r="V24" s="9" t="s">
        <v>27</v>
      </c>
      <c r="W24" s="9">
        <v>4</v>
      </c>
      <c r="X24" s="9" t="s">
        <v>70</v>
      </c>
      <c r="Y24" s="9" t="s">
        <v>183</v>
      </c>
      <c r="Z24" s="9" t="s">
        <v>589</v>
      </c>
      <c r="AA24" s="9" t="s">
        <v>12</v>
      </c>
      <c r="AB24" s="9" t="s">
        <v>13</v>
      </c>
      <c r="AC24" s="9" t="s">
        <v>13</v>
      </c>
      <c r="AD24" s="9" t="s">
        <v>157</v>
      </c>
      <c r="AE24" s="12">
        <v>0</v>
      </c>
      <c r="AF24" s="12">
        <v>0</v>
      </c>
      <c r="AG24" s="9" t="s">
        <v>184</v>
      </c>
      <c r="AH24" s="12" t="s">
        <v>185</v>
      </c>
      <c r="AI24" s="12">
        <v>0</v>
      </c>
      <c r="AJ24" s="12">
        <v>0</v>
      </c>
    </row>
    <row r="25" spans="1:36" ht="53" x14ac:dyDescent="0.2">
      <c r="A25" s="10" t="s">
        <v>36</v>
      </c>
      <c r="B25" s="10" t="s">
        <v>5</v>
      </c>
      <c r="C25" s="10" t="s">
        <v>7</v>
      </c>
      <c r="D25" s="10">
        <v>2</v>
      </c>
      <c r="E25" s="10">
        <v>2</v>
      </c>
      <c r="F25" s="10">
        <v>1</v>
      </c>
      <c r="G25" s="10" t="s">
        <v>11</v>
      </c>
      <c r="H25" s="10" t="s">
        <v>11</v>
      </c>
      <c r="I25" s="10" t="s">
        <v>94</v>
      </c>
      <c r="J25" s="10">
        <v>3</v>
      </c>
      <c r="K25" s="10" t="s">
        <v>81</v>
      </c>
      <c r="L25" s="10" t="s">
        <v>20</v>
      </c>
      <c r="M25" s="10" t="s">
        <v>11</v>
      </c>
      <c r="N25" s="13">
        <v>0</v>
      </c>
      <c r="O25" s="10" t="s">
        <v>66</v>
      </c>
      <c r="P25" s="10" t="s">
        <v>67</v>
      </c>
      <c r="Q25" s="10" t="s">
        <v>65</v>
      </c>
      <c r="R25" s="10" t="s">
        <v>64</v>
      </c>
      <c r="S25" s="10" t="s">
        <v>68</v>
      </c>
      <c r="T25" s="10" t="s">
        <v>69</v>
      </c>
      <c r="U25" s="10">
        <v>3</v>
      </c>
      <c r="V25" s="10" t="s">
        <v>27</v>
      </c>
      <c r="W25" s="10">
        <v>2</v>
      </c>
      <c r="X25" s="10" t="s">
        <v>186</v>
      </c>
      <c r="Y25" s="10" t="s">
        <v>187</v>
      </c>
      <c r="Z25" s="10" t="s">
        <v>188</v>
      </c>
      <c r="AA25" s="10" t="s">
        <v>13</v>
      </c>
      <c r="AB25" s="10" t="s">
        <v>13</v>
      </c>
      <c r="AC25" s="10" t="s">
        <v>11</v>
      </c>
      <c r="AD25" s="10" t="s">
        <v>181</v>
      </c>
      <c r="AE25" s="13">
        <v>0</v>
      </c>
      <c r="AF25" s="13">
        <v>0</v>
      </c>
      <c r="AG25" s="13">
        <v>0</v>
      </c>
      <c r="AH25" s="13">
        <v>0</v>
      </c>
      <c r="AI25" s="13">
        <v>0</v>
      </c>
      <c r="AJ25" s="13">
        <v>0</v>
      </c>
    </row>
    <row r="26" spans="1:36" ht="66" x14ac:dyDescent="0.2">
      <c r="A26" s="9" t="s">
        <v>36</v>
      </c>
      <c r="B26" s="9" t="s">
        <v>5</v>
      </c>
      <c r="C26" s="9" t="s">
        <v>8</v>
      </c>
      <c r="D26" s="9">
        <v>2</v>
      </c>
      <c r="E26" s="9">
        <v>5</v>
      </c>
      <c r="F26" s="9">
        <v>4</v>
      </c>
      <c r="G26" s="9" t="s">
        <v>12</v>
      </c>
      <c r="H26" s="9" t="s">
        <v>17</v>
      </c>
      <c r="I26" s="9" t="s">
        <v>125</v>
      </c>
      <c r="J26" s="9">
        <v>2</v>
      </c>
      <c r="K26" s="9" t="s">
        <v>167</v>
      </c>
      <c r="L26" s="9" t="s">
        <v>22</v>
      </c>
      <c r="M26" s="9" t="s">
        <v>12</v>
      </c>
      <c r="N26" s="9" t="s">
        <v>189</v>
      </c>
      <c r="O26" s="9" t="s">
        <v>64</v>
      </c>
      <c r="P26" s="9" t="s">
        <v>66</v>
      </c>
      <c r="Q26" s="9" t="s">
        <v>65</v>
      </c>
      <c r="R26" s="9" t="s">
        <v>68</v>
      </c>
      <c r="S26" s="9" t="s">
        <v>67</v>
      </c>
      <c r="T26" s="9" t="s">
        <v>69</v>
      </c>
      <c r="U26" s="9">
        <v>3</v>
      </c>
      <c r="V26" s="9" t="s">
        <v>27</v>
      </c>
      <c r="W26" s="9">
        <v>4</v>
      </c>
      <c r="X26" s="9" t="s">
        <v>190</v>
      </c>
      <c r="Y26" s="9" t="s">
        <v>191</v>
      </c>
      <c r="Z26" s="9" t="s">
        <v>72</v>
      </c>
      <c r="AA26" s="9" t="s">
        <v>11</v>
      </c>
      <c r="AB26" s="9" t="s">
        <v>12</v>
      </c>
      <c r="AC26" s="9" t="s">
        <v>12</v>
      </c>
      <c r="AD26" s="9" t="s">
        <v>93</v>
      </c>
      <c r="AE26" s="12">
        <v>0</v>
      </c>
      <c r="AF26" s="12">
        <v>0</v>
      </c>
      <c r="AG26" s="12">
        <v>0</v>
      </c>
      <c r="AH26" s="12">
        <v>0</v>
      </c>
      <c r="AI26" s="12">
        <v>0</v>
      </c>
      <c r="AJ26" s="12">
        <v>0</v>
      </c>
    </row>
    <row r="27" spans="1:36" ht="105" x14ac:dyDescent="0.2">
      <c r="A27" s="10" t="s">
        <v>36</v>
      </c>
      <c r="B27" s="10" t="s">
        <v>5</v>
      </c>
      <c r="C27" s="10" t="s">
        <v>9</v>
      </c>
      <c r="D27" s="10">
        <v>4</v>
      </c>
      <c r="E27" s="10">
        <v>1</v>
      </c>
      <c r="F27" s="10">
        <v>4</v>
      </c>
      <c r="G27" s="10" t="s">
        <v>12</v>
      </c>
      <c r="H27" s="10" t="s">
        <v>11</v>
      </c>
      <c r="I27" s="13">
        <v>0</v>
      </c>
      <c r="J27" s="10">
        <v>5</v>
      </c>
      <c r="K27" s="10" t="s">
        <v>81</v>
      </c>
      <c r="L27" s="10" t="s">
        <v>21</v>
      </c>
      <c r="M27" s="10" t="s">
        <v>12</v>
      </c>
      <c r="N27" s="10" t="s">
        <v>192</v>
      </c>
      <c r="O27" s="10" t="s">
        <v>64</v>
      </c>
      <c r="P27" s="10" t="s">
        <v>67</v>
      </c>
      <c r="Q27" s="10" t="s">
        <v>66</v>
      </c>
      <c r="R27" s="10" t="s">
        <v>68</v>
      </c>
      <c r="S27" s="10" t="s">
        <v>65</v>
      </c>
      <c r="T27" s="10" t="s">
        <v>69</v>
      </c>
      <c r="U27" s="10">
        <v>2</v>
      </c>
      <c r="V27" s="10">
        <v>0</v>
      </c>
      <c r="W27" s="10">
        <v>1</v>
      </c>
      <c r="X27" s="10" t="s">
        <v>190</v>
      </c>
      <c r="Y27" s="10" t="s">
        <v>193</v>
      </c>
      <c r="Z27" s="10" t="s">
        <v>194</v>
      </c>
      <c r="AA27" s="10" t="s">
        <v>12</v>
      </c>
      <c r="AB27" s="10" t="s">
        <v>11</v>
      </c>
      <c r="AC27" s="10" t="s">
        <v>11</v>
      </c>
      <c r="AD27" s="10" t="s">
        <v>86</v>
      </c>
      <c r="AE27" s="13">
        <v>0</v>
      </c>
      <c r="AF27" s="10">
        <v>0</v>
      </c>
      <c r="AG27" s="10" t="s">
        <v>195</v>
      </c>
      <c r="AH27" s="10" t="s">
        <v>196</v>
      </c>
      <c r="AI27" s="10" t="s">
        <v>197</v>
      </c>
      <c r="AJ27" s="10" t="s">
        <v>198</v>
      </c>
    </row>
    <row r="28" spans="1:36" ht="131" x14ac:dyDescent="0.2">
      <c r="A28" s="9" t="s">
        <v>36</v>
      </c>
      <c r="B28" s="9" t="s">
        <v>5</v>
      </c>
      <c r="C28" s="9" t="s">
        <v>7</v>
      </c>
      <c r="D28" s="9">
        <v>1</v>
      </c>
      <c r="E28" s="9">
        <v>3</v>
      </c>
      <c r="F28" s="9">
        <v>1</v>
      </c>
      <c r="G28" s="9" t="s">
        <v>12</v>
      </c>
      <c r="H28" s="9" t="s">
        <v>16</v>
      </c>
      <c r="I28" s="9" t="s">
        <v>199</v>
      </c>
      <c r="J28" s="9">
        <v>3</v>
      </c>
      <c r="K28" s="9" t="s">
        <v>81</v>
      </c>
      <c r="L28" s="9" t="s">
        <v>20</v>
      </c>
      <c r="M28" s="9" t="s">
        <v>13</v>
      </c>
      <c r="N28" s="9" t="s">
        <v>189</v>
      </c>
      <c r="O28" s="9" t="s">
        <v>64</v>
      </c>
      <c r="P28" s="9" t="s">
        <v>65</v>
      </c>
      <c r="Q28" s="9" t="s">
        <v>66</v>
      </c>
      <c r="R28" s="9" t="s">
        <v>68</v>
      </c>
      <c r="S28" s="9" t="s">
        <v>67</v>
      </c>
      <c r="T28" s="9" t="s">
        <v>69</v>
      </c>
      <c r="U28" s="9">
        <v>4</v>
      </c>
      <c r="V28" s="9" t="s">
        <v>27</v>
      </c>
      <c r="W28" s="9">
        <v>4</v>
      </c>
      <c r="X28" s="9" t="s">
        <v>200</v>
      </c>
      <c r="Y28" s="9" t="s">
        <v>128</v>
      </c>
      <c r="Z28" s="9" t="s">
        <v>201</v>
      </c>
      <c r="AA28" s="9" t="s">
        <v>11</v>
      </c>
      <c r="AB28" s="9" t="s">
        <v>12</v>
      </c>
      <c r="AC28" s="9" t="s">
        <v>12</v>
      </c>
      <c r="AD28" s="9" t="s">
        <v>202</v>
      </c>
      <c r="AE28" s="9" t="s">
        <v>203</v>
      </c>
      <c r="AF28" s="9" t="s">
        <v>204</v>
      </c>
      <c r="AG28" s="9" t="s">
        <v>205</v>
      </c>
      <c r="AH28" s="9" t="s">
        <v>206</v>
      </c>
      <c r="AI28" s="9" t="s">
        <v>207</v>
      </c>
      <c r="AJ28" s="9" t="s">
        <v>208</v>
      </c>
    </row>
    <row r="29" spans="1:36" ht="92" x14ac:dyDescent="0.2">
      <c r="A29" s="10" t="s">
        <v>36</v>
      </c>
      <c r="B29" s="10" t="s">
        <v>2</v>
      </c>
      <c r="C29" s="10" t="s">
        <v>7</v>
      </c>
      <c r="D29" s="10">
        <v>3</v>
      </c>
      <c r="E29" s="10">
        <v>5</v>
      </c>
      <c r="F29" s="10">
        <v>3</v>
      </c>
      <c r="G29" s="10" t="s">
        <v>12</v>
      </c>
      <c r="H29" s="10" t="s">
        <v>15</v>
      </c>
      <c r="I29" s="10" t="s">
        <v>99</v>
      </c>
      <c r="J29" s="10">
        <v>3</v>
      </c>
      <c r="K29" s="10" t="s">
        <v>81</v>
      </c>
      <c r="L29" s="10" t="s">
        <v>22</v>
      </c>
      <c r="M29" s="10" t="s">
        <v>12</v>
      </c>
      <c r="N29" s="10" t="s">
        <v>82</v>
      </c>
      <c r="O29" s="10" t="s">
        <v>64</v>
      </c>
      <c r="P29" s="10" t="s">
        <v>65</v>
      </c>
      <c r="Q29" s="10" t="s">
        <v>66</v>
      </c>
      <c r="R29" s="10" t="s">
        <v>68</v>
      </c>
      <c r="S29" s="10" t="s">
        <v>69</v>
      </c>
      <c r="T29" s="10" t="s">
        <v>67</v>
      </c>
      <c r="U29" s="10">
        <v>5</v>
      </c>
      <c r="V29" s="10" t="s">
        <v>30</v>
      </c>
      <c r="W29" s="10">
        <v>2</v>
      </c>
      <c r="X29" s="10" t="s">
        <v>209</v>
      </c>
      <c r="Y29" s="10" t="s">
        <v>210</v>
      </c>
      <c r="Z29" s="10" t="s">
        <v>211</v>
      </c>
      <c r="AA29" s="10" t="s">
        <v>11</v>
      </c>
      <c r="AB29" s="10" t="s">
        <v>12</v>
      </c>
      <c r="AC29" s="10" t="s">
        <v>12</v>
      </c>
      <c r="AD29" s="10" t="s">
        <v>93</v>
      </c>
      <c r="AE29" s="13">
        <v>0</v>
      </c>
      <c r="AF29" s="13">
        <v>0</v>
      </c>
      <c r="AG29" s="13">
        <v>0</v>
      </c>
      <c r="AH29" s="13">
        <v>0</v>
      </c>
      <c r="AI29" s="13">
        <v>0</v>
      </c>
      <c r="AJ29" s="13">
        <v>0</v>
      </c>
    </row>
    <row r="30" spans="1:36" ht="66" x14ac:dyDescent="0.2">
      <c r="A30" s="9" t="s">
        <v>36</v>
      </c>
      <c r="B30" s="9" t="s">
        <v>5</v>
      </c>
      <c r="C30" s="9" t="s">
        <v>8</v>
      </c>
      <c r="D30" s="9">
        <v>4</v>
      </c>
      <c r="E30" s="9">
        <v>5</v>
      </c>
      <c r="F30" s="9">
        <v>4</v>
      </c>
      <c r="G30" s="9" t="s">
        <v>12</v>
      </c>
      <c r="H30" s="9" t="s">
        <v>17</v>
      </c>
      <c r="I30" s="9" t="s">
        <v>212</v>
      </c>
      <c r="J30" s="9">
        <v>3</v>
      </c>
      <c r="K30" s="9" t="s">
        <v>81</v>
      </c>
      <c r="L30" s="9" t="s">
        <v>20</v>
      </c>
      <c r="M30" s="9" t="s">
        <v>13</v>
      </c>
      <c r="N30" s="12">
        <v>0</v>
      </c>
      <c r="O30" s="9" t="s">
        <v>64</v>
      </c>
      <c r="P30" s="9" t="s">
        <v>65</v>
      </c>
      <c r="Q30" s="9" t="s">
        <v>66</v>
      </c>
      <c r="R30" s="9" t="s">
        <v>69</v>
      </c>
      <c r="S30" s="9" t="s">
        <v>68</v>
      </c>
      <c r="T30" s="9" t="s">
        <v>67</v>
      </c>
      <c r="U30" s="9">
        <v>5</v>
      </c>
      <c r="V30" s="9" t="s">
        <v>26</v>
      </c>
      <c r="W30" s="9">
        <v>3</v>
      </c>
      <c r="X30" s="9" t="s">
        <v>70</v>
      </c>
      <c r="Y30" s="9" t="s">
        <v>183</v>
      </c>
      <c r="Z30" s="9" t="s">
        <v>423</v>
      </c>
      <c r="AA30" s="9" t="s">
        <v>11</v>
      </c>
      <c r="AB30" s="9" t="s">
        <v>12</v>
      </c>
      <c r="AC30" s="9" t="s">
        <v>12</v>
      </c>
      <c r="AD30" s="9" t="s">
        <v>86</v>
      </c>
      <c r="AE30" s="12">
        <v>0</v>
      </c>
      <c r="AF30" s="12">
        <v>0</v>
      </c>
      <c r="AG30" s="12">
        <v>0</v>
      </c>
      <c r="AH30" s="12">
        <v>0</v>
      </c>
      <c r="AI30" s="12">
        <v>0</v>
      </c>
      <c r="AJ30" s="12">
        <v>0</v>
      </c>
    </row>
    <row r="31" spans="1:36" ht="40" x14ac:dyDescent="0.2">
      <c r="A31" s="10" t="s">
        <v>36</v>
      </c>
      <c r="B31" s="10" t="s">
        <v>2</v>
      </c>
      <c r="C31" s="10" t="s">
        <v>7</v>
      </c>
      <c r="D31" s="10">
        <v>1</v>
      </c>
      <c r="E31" s="10">
        <v>1</v>
      </c>
      <c r="F31" s="10">
        <v>2</v>
      </c>
      <c r="G31" s="10" t="s">
        <v>13</v>
      </c>
      <c r="H31" s="10" t="s">
        <v>11</v>
      </c>
      <c r="I31" s="13">
        <v>0</v>
      </c>
      <c r="J31" s="10">
        <v>3</v>
      </c>
      <c r="K31" s="10" t="s">
        <v>81</v>
      </c>
      <c r="L31" s="10" t="s">
        <v>21</v>
      </c>
      <c r="M31" s="10" t="s">
        <v>13</v>
      </c>
      <c r="N31" s="13">
        <v>0</v>
      </c>
      <c r="O31" s="10" t="s">
        <v>64</v>
      </c>
      <c r="P31" s="10" t="s">
        <v>67</v>
      </c>
      <c r="Q31" s="10" t="s">
        <v>66</v>
      </c>
      <c r="R31" s="10" t="s">
        <v>68</v>
      </c>
      <c r="S31" s="10" t="s">
        <v>69</v>
      </c>
      <c r="T31" s="10" t="s">
        <v>65</v>
      </c>
      <c r="U31" s="10">
        <v>1</v>
      </c>
      <c r="V31" s="10">
        <v>0</v>
      </c>
      <c r="W31" s="10">
        <v>3</v>
      </c>
      <c r="X31" s="10">
        <v>0</v>
      </c>
      <c r="Y31" s="10" t="s">
        <v>588</v>
      </c>
      <c r="Z31" s="10" t="s">
        <v>434</v>
      </c>
      <c r="AA31" s="10" t="s">
        <v>13</v>
      </c>
      <c r="AB31" s="10" t="s">
        <v>11</v>
      </c>
      <c r="AC31" s="10" t="s">
        <v>11</v>
      </c>
      <c r="AD31" s="10" t="s">
        <v>213</v>
      </c>
      <c r="AE31" s="13">
        <v>0</v>
      </c>
      <c r="AF31" s="13">
        <v>0</v>
      </c>
      <c r="AG31" s="13">
        <v>0</v>
      </c>
      <c r="AH31" s="13">
        <v>0</v>
      </c>
      <c r="AI31" s="13">
        <v>0</v>
      </c>
      <c r="AJ31" s="13">
        <v>0</v>
      </c>
    </row>
    <row r="32" spans="1:36" ht="92" x14ac:dyDescent="0.2">
      <c r="A32" s="9" t="s">
        <v>36</v>
      </c>
      <c r="B32" s="9" t="s">
        <v>5</v>
      </c>
      <c r="C32" s="9" t="s">
        <v>8</v>
      </c>
      <c r="D32" s="9">
        <v>4</v>
      </c>
      <c r="E32" s="9">
        <v>5</v>
      </c>
      <c r="F32" s="9">
        <v>4</v>
      </c>
      <c r="G32" s="9" t="s">
        <v>12</v>
      </c>
      <c r="H32" s="9" t="s">
        <v>17</v>
      </c>
      <c r="I32" s="9" t="s">
        <v>214</v>
      </c>
      <c r="J32" s="9">
        <v>4</v>
      </c>
      <c r="K32" s="9" t="s">
        <v>103</v>
      </c>
      <c r="L32" s="9" t="s">
        <v>21</v>
      </c>
      <c r="M32" s="9" t="s">
        <v>13</v>
      </c>
      <c r="N32" s="9" t="s">
        <v>159</v>
      </c>
      <c r="O32" s="9" t="s">
        <v>68</v>
      </c>
      <c r="P32" s="9" t="s">
        <v>65</v>
      </c>
      <c r="Q32" s="9" t="s">
        <v>64</v>
      </c>
      <c r="R32" s="9" t="s">
        <v>66</v>
      </c>
      <c r="S32" s="9" t="s">
        <v>67</v>
      </c>
      <c r="T32" s="9" t="s">
        <v>69</v>
      </c>
      <c r="U32" s="9">
        <v>4</v>
      </c>
      <c r="V32" s="9" t="s">
        <v>26</v>
      </c>
      <c r="W32" s="9">
        <v>3</v>
      </c>
      <c r="X32" s="9" t="s">
        <v>173</v>
      </c>
      <c r="Y32" s="9" t="s">
        <v>215</v>
      </c>
      <c r="Z32" s="9" t="s">
        <v>216</v>
      </c>
      <c r="AA32" s="9" t="s">
        <v>13</v>
      </c>
      <c r="AB32" s="9" t="s">
        <v>12</v>
      </c>
      <c r="AC32" s="9" t="s">
        <v>12</v>
      </c>
      <c r="AD32" s="9" t="s">
        <v>217</v>
      </c>
      <c r="AE32" s="12">
        <v>0</v>
      </c>
      <c r="AF32" s="12">
        <v>0</v>
      </c>
      <c r="AG32" s="9" t="s">
        <v>218</v>
      </c>
      <c r="AH32" s="12" t="s">
        <v>415</v>
      </c>
      <c r="AI32" s="12">
        <v>0</v>
      </c>
      <c r="AJ32" s="12">
        <v>0</v>
      </c>
    </row>
    <row r="33" spans="1:36" ht="131" x14ac:dyDescent="0.2">
      <c r="A33" s="10" t="s">
        <v>36</v>
      </c>
      <c r="B33" s="10" t="s">
        <v>5</v>
      </c>
      <c r="C33" s="10" t="s">
        <v>7</v>
      </c>
      <c r="D33" s="10">
        <v>4</v>
      </c>
      <c r="E33" s="10">
        <v>5</v>
      </c>
      <c r="F33" s="10">
        <v>4</v>
      </c>
      <c r="G33" s="10" t="s">
        <v>11</v>
      </c>
      <c r="H33" s="10" t="s">
        <v>11</v>
      </c>
      <c r="I33" s="13">
        <v>0</v>
      </c>
      <c r="J33" s="10">
        <v>4</v>
      </c>
      <c r="K33" s="10" t="s">
        <v>81</v>
      </c>
      <c r="L33" s="10" t="s">
        <v>20</v>
      </c>
      <c r="M33" s="10" t="s">
        <v>12</v>
      </c>
      <c r="N33" s="10" t="s">
        <v>219</v>
      </c>
      <c r="O33" s="10" t="s">
        <v>67</v>
      </c>
      <c r="P33" s="10" t="s">
        <v>65</v>
      </c>
      <c r="Q33" s="10" t="s">
        <v>66</v>
      </c>
      <c r="R33" s="10" t="s">
        <v>68</v>
      </c>
      <c r="S33" s="10" t="s">
        <v>64</v>
      </c>
      <c r="T33" s="10" t="s">
        <v>69</v>
      </c>
      <c r="U33" s="10">
        <v>5</v>
      </c>
      <c r="V33" s="10" t="s">
        <v>26</v>
      </c>
      <c r="W33" s="10">
        <v>3</v>
      </c>
      <c r="X33" s="10" t="s">
        <v>220</v>
      </c>
      <c r="Y33" s="10" t="s">
        <v>78</v>
      </c>
      <c r="Z33" s="10" t="s">
        <v>201</v>
      </c>
      <c r="AA33" s="10" t="s">
        <v>11</v>
      </c>
      <c r="AB33" s="10" t="s">
        <v>12</v>
      </c>
      <c r="AC33" s="10" t="s">
        <v>12</v>
      </c>
      <c r="AD33" s="10" t="s">
        <v>151</v>
      </c>
      <c r="AE33" s="13">
        <v>0</v>
      </c>
      <c r="AF33" s="13">
        <v>0</v>
      </c>
      <c r="AG33" s="13">
        <v>0</v>
      </c>
      <c r="AH33" s="13">
        <v>0</v>
      </c>
      <c r="AI33" s="13">
        <v>0</v>
      </c>
      <c r="AJ33" s="13">
        <v>0</v>
      </c>
    </row>
    <row r="34" spans="1:36" ht="131" x14ac:dyDescent="0.2">
      <c r="A34" s="9" t="s">
        <v>36</v>
      </c>
      <c r="B34" s="9" t="s">
        <v>3</v>
      </c>
      <c r="C34" s="9" t="s">
        <v>8</v>
      </c>
      <c r="D34" s="9">
        <v>4</v>
      </c>
      <c r="E34" s="9">
        <v>5</v>
      </c>
      <c r="F34" s="9">
        <v>4</v>
      </c>
      <c r="G34" s="9" t="s">
        <v>12</v>
      </c>
      <c r="H34" s="9" t="s">
        <v>17</v>
      </c>
      <c r="I34" s="9" t="s">
        <v>221</v>
      </c>
      <c r="J34" s="9">
        <v>4</v>
      </c>
      <c r="K34" s="9" t="s">
        <v>103</v>
      </c>
      <c r="L34" s="9" t="s">
        <v>21</v>
      </c>
      <c r="M34" s="9" t="s">
        <v>12</v>
      </c>
      <c r="N34" s="9" t="s">
        <v>177</v>
      </c>
      <c r="O34" s="9" t="s">
        <v>65</v>
      </c>
      <c r="P34" s="9" t="s">
        <v>68</v>
      </c>
      <c r="Q34" s="9" t="s">
        <v>64</v>
      </c>
      <c r="R34" s="9" t="s">
        <v>66</v>
      </c>
      <c r="S34" s="9" t="s">
        <v>67</v>
      </c>
      <c r="T34" s="9" t="s">
        <v>69</v>
      </c>
      <c r="U34" s="9">
        <v>5</v>
      </c>
      <c r="V34" s="9" t="s">
        <v>26</v>
      </c>
      <c r="W34" s="9">
        <v>2</v>
      </c>
      <c r="X34" s="9" t="s">
        <v>136</v>
      </c>
      <c r="Y34" s="9" t="s">
        <v>155</v>
      </c>
      <c r="Z34" s="9" t="s">
        <v>201</v>
      </c>
      <c r="AA34" s="9" t="s">
        <v>11</v>
      </c>
      <c r="AB34" s="9" t="s">
        <v>12</v>
      </c>
      <c r="AC34" s="9" t="s">
        <v>12</v>
      </c>
      <c r="AD34" s="9" t="s">
        <v>222</v>
      </c>
      <c r="AE34" s="9" t="s">
        <v>223</v>
      </c>
      <c r="AF34" s="12" t="s">
        <v>224</v>
      </c>
      <c r="AG34" s="9" t="s">
        <v>225</v>
      </c>
      <c r="AH34" s="12" t="s">
        <v>208</v>
      </c>
      <c r="AI34" s="12">
        <v>0</v>
      </c>
      <c r="AJ34" s="12">
        <v>0</v>
      </c>
    </row>
    <row r="35" spans="1:36" ht="79" x14ac:dyDescent="0.2">
      <c r="A35" s="10" t="s">
        <v>36</v>
      </c>
      <c r="B35" s="10" t="s">
        <v>4</v>
      </c>
      <c r="C35" s="10" t="s">
        <v>8</v>
      </c>
      <c r="D35" s="10">
        <v>3</v>
      </c>
      <c r="E35" s="10">
        <v>5</v>
      </c>
      <c r="F35" s="10">
        <v>4</v>
      </c>
      <c r="G35" s="10" t="s">
        <v>12</v>
      </c>
      <c r="H35" s="10" t="s">
        <v>17</v>
      </c>
      <c r="I35" s="10" t="s">
        <v>226</v>
      </c>
      <c r="J35" s="10">
        <v>3</v>
      </c>
      <c r="K35" s="10" t="s">
        <v>88</v>
      </c>
      <c r="L35" s="10" t="s">
        <v>20</v>
      </c>
      <c r="M35" s="10" t="s">
        <v>12</v>
      </c>
      <c r="N35" s="10" t="s">
        <v>170</v>
      </c>
      <c r="O35" s="10" t="s">
        <v>64</v>
      </c>
      <c r="P35" s="10" t="s">
        <v>65</v>
      </c>
      <c r="Q35" s="10" t="s">
        <v>66</v>
      </c>
      <c r="R35" s="10" t="s">
        <v>68</v>
      </c>
      <c r="S35" s="10" t="s">
        <v>67</v>
      </c>
      <c r="T35" s="10" t="s">
        <v>69</v>
      </c>
      <c r="U35" s="10">
        <v>4</v>
      </c>
      <c r="V35" s="10" t="s">
        <v>26</v>
      </c>
      <c r="W35" s="10">
        <v>1</v>
      </c>
      <c r="X35" s="10" t="s">
        <v>227</v>
      </c>
      <c r="Y35" s="10" t="s">
        <v>84</v>
      </c>
      <c r="Z35" s="10" t="s">
        <v>228</v>
      </c>
      <c r="AA35" s="10" t="s">
        <v>11</v>
      </c>
      <c r="AB35" s="10" t="s">
        <v>12</v>
      </c>
      <c r="AC35" s="10" t="s">
        <v>12</v>
      </c>
      <c r="AD35" s="10" t="s">
        <v>229</v>
      </c>
      <c r="AE35" s="13">
        <v>0</v>
      </c>
      <c r="AF35" s="13">
        <v>0</v>
      </c>
      <c r="AG35" s="13">
        <v>0</v>
      </c>
      <c r="AH35" s="13">
        <v>0</v>
      </c>
      <c r="AI35" s="13">
        <v>0</v>
      </c>
      <c r="AJ35" s="13">
        <v>0</v>
      </c>
    </row>
    <row r="36" spans="1:36" ht="92" x14ac:dyDescent="0.2">
      <c r="A36" s="9" t="s">
        <v>36</v>
      </c>
      <c r="B36" s="9" t="s">
        <v>5</v>
      </c>
      <c r="C36" s="9" t="s">
        <v>8</v>
      </c>
      <c r="D36" s="9">
        <v>5</v>
      </c>
      <c r="E36" s="9">
        <v>5</v>
      </c>
      <c r="F36" s="9">
        <v>5</v>
      </c>
      <c r="G36" s="9" t="s">
        <v>12</v>
      </c>
      <c r="H36" s="9" t="s">
        <v>17</v>
      </c>
      <c r="I36" s="9" t="s">
        <v>230</v>
      </c>
      <c r="J36" s="9">
        <v>4</v>
      </c>
      <c r="K36" s="9" t="s">
        <v>81</v>
      </c>
      <c r="L36" s="9" t="s">
        <v>20</v>
      </c>
      <c r="M36" s="9" t="s">
        <v>13</v>
      </c>
      <c r="N36" s="9" t="s">
        <v>231</v>
      </c>
      <c r="O36" s="9" t="s">
        <v>64</v>
      </c>
      <c r="P36" s="9" t="s">
        <v>66</v>
      </c>
      <c r="Q36" s="9" t="s">
        <v>65</v>
      </c>
      <c r="R36" s="9" t="s">
        <v>68</v>
      </c>
      <c r="S36" s="9" t="s">
        <v>67</v>
      </c>
      <c r="T36" s="9" t="s">
        <v>69</v>
      </c>
      <c r="U36" s="9">
        <v>5</v>
      </c>
      <c r="V36" s="9" t="s">
        <v>26</v>
      </c>
      <c r="W36" s="9">
        <v>2</v>
      </c>
      <c r="X36" s="9" t="s">
        <v>232</v>
      </c>
      <c r="Y36" s="9" t="s">
        <v>210</v>
      </c>
      <c r="Z36" s="9" t="s">
        <v>233</v>
      </c>
      <c r="AA36" s="9" t="s">
        <v>13</v>
      </c>
      <c r="AB36" s="9" t="s">
        <v>12</v>
      </c>
      <c r="AC36" s="9" t="s">
        <v>12</v>
      </c>
      <c r="AD36" s="9" t="s">
        <v>73</v>
      </c>
      <c r="AE36" s="12">
        <v>0</v>
      </c>
      <c r="AF36" s="12">
        <v>0</v>
      </c>
      <c r="AG36" s="12">
        <v>0</v>
      </c>
      <c r="AH36" s="12">
        <v>0</v>
      </c>
      <c r="AI36" s="12">
        <v>0</v>
      </c>
      <c r="AJ36" s="12">
        <v>0</v>
      </c>
    </row>
    <row r="37" spans="1:36" ht="92" x14ac:dyDescent="0.2">
      <c r="A37" s="10" t="s">
        <v>36</v>
      </c>
      <c r="B37" s="10" t="s">
        <v>5</v>
      </c>
      <c r="C37" s="10" t="s">
        <v>8</v>
      </c>
      <c r="D37" s="10">
        <v>2</v>
      </c>
      <c r="E37" s="10">
        <v>4</v>
      </c>
      <c r="F37" s="10">
        <v>3</v>
      </c>
      <c r="G37" s="10" t="s">
        <v>11</v>
      </c>
      <c r="H37" s="10" t="s">
        <v>15</v>
      </c>
      <c r="I37" s="10" t="s">
        <v>234</v>
      </c>
      <c r="J37" s="10">
        <v>3</v>
      </c>
      <c r="K37" s="10" t="s">
        <v>81</v>
      </c>
      <c r="L37" s="10" t="s">
        <v>21</v>
      </c>
      <c r="M37" s="10" t="s">
        <v>12</v>
      </c>
      <c r="N37" s="10" t="s">
        <v>177</v>
      </c>
      <c r="O37" s="10" t="s">
        <v>66</v>
      </c>
      <c r="P37" s="10" t="s">
        <v>64</v>
      </c>
      <c r="Q37" s="10" t="s">
        <v>65</v>
      </c>
      <c r="R37" s="10" t="s">
        <v>68</v>
      </c>
      <c r="S37" s="10" t="s">
        <v>67</v>
      </c>
      <c r="T37" s="10" t="s">
        <v>69</v>
      </c>
      <c r="U37" s="10">
        <v>5</v>
      </c>
      <c r="V37" s="10" t="s">
        <v>26</v>
      </c>
      <c r="W37" s="10">
        <v>1</v>
      </c>
      <c r="X37" s="10" t="s">
        <v>235</v>
      </c>
      <c r="Y37" s="10" t="s">
        <v>236</v>
      </c>
      <c r="Z37" s="10" t="s">
        <v>237</v>
      </c>
      <c r="AA37" s="10" t="s">
        <v>12</v>
      </c>
      <c r="AB37" s="10" t="s">
        <v>12</v>
      </c>
      <c r="AC37" s="10" t="s">
        <v>12</v>
      </c>
      <c r="AD37" s="10" t="s">
        <v>162</v>
      </c>
      <c r="AE37" s="13">
        <v>0</v>
      </c>
      <c r="AF37" s="13">
        <v>0</v>
      </c>
      <c r="AG37" s="13">
        <v>0</v>
      </c>
      <c r="AH37" s="13">
        <v>0</v>
      </c>
      <c r="AI37" s="13">
        <v>0</v>
      </c>
      <c r="AJ37" s="13">
        <v>0</v>
      </c>
    </row>
    <row r="38" spans="1:36" ht="79" x14ac:dyDescent="0.2">
      <c r="A38" s="9" t="s">
        <v>36</v>
      </c>
      <c r="B38" s="9" t="s">
        <v>2</v>
      </c>
      <c r="C38" s="9" t="s">
        <v>7</v>
      </c>
      <c r="D38" s="9">
        <v>3</v>
      </c>
      <c r="E38" s="9">
        <v>3</v>
      </c>
      <c r="F38" s="9">
        <v>2</v>
      </c>
      <c r="G38" s="9" t="s">
        <v>13</v>
      </c>
      <c r="H38" s="9" t="s">
        <v>11</v>
      </c>
      <c r="I38" s="12">
        <v>0</v>
      </c>
      <c r="J38" s="9">
        <v>3</v>
      </c>
      <c r="K38" s="9" t="s">
        <v>81</v>
      </c>
      <c r="L38" s="9" t="s">
        <v>22</v>
      </c>
      <c r="M38" s="9" t="s">
        <v>13</v>
      </c>
      <c r="N38" s="12">
        <v>0</v>
      </c>
      <c r="O38" s="9" t="s">
        <v>69</v>
      </c>
      <c r="P38" s="9" t="s">
        <v>66</v>
      </c>
      <c r="Q38" s="9" t="s">
        <v>67</v>
      </c>
      <c r="R38" s="9" t="s">
        <v>68</v>
      </c>
      <c r="S38" s="9" t="s">
        <v>65</v>
      </c>
      <c r="T38" s="9" t="s">
        <v>64</v>
      </c>
      <c r="U38" s="9">
        <v>4</v>
      </c>
      <c r="V38" s="9" t="s">
        <v>26</v>
      </c>
      <c r="W38" s="9">
        <v>2</v>
      </c>
      <c r="X38" s="9" t="s">
        <v>131</v>
      </c>
      <c r="Y38" s="9" t="s">
        <v>238</v>
      </c>
      <c r="Z38" s="9" t="s">
        <v>85</v>
      </c>
      <c r="AA38" s="9" t="s">
        <v>13</v>
      </c>
      <c r="AB38" s="9" t="s">
        <v>12</v>
      </c>
      <c r="AC38" s="9" t="s">
        <v>12</v>
      </c>
      <c r="AD38" s="9" t="s">
        <v>239</v>
      </c>
      <c r="AE38" s="12">
        <v>0</v>
      </c>
      <c r="AF38" s="12">
        <v>0</v>
      </c>
      <c r="AG38" s="12">
        <v>0</v>
      </c>
      <c r="AH38" s="12">
        <v>0</v>
      </c>
      <c r="AI38" s="12">
        <v>0</v>
      </c>
      <c r="AJ38" s="12">
        <v>0</v>
      </c>
    </row>
    <row r="39" spans="1:36" ht="131" x14ac:dyDescent="0.2">
      <c r="A39" s="10" t="s">
        <v>36</v>
      </c>
      <c r="B39" s="10" t="s">
        <v>4</v>
      </c>
      <c r="C39" s="10" t="s">
        <v>8</v>
      </c>
      <c r="D39" s="10">
        <v>4</v>
      </c>
      <c r="E39" s="10">
        <v>4</v>
      </c>
      <c r="F39" s="10">
        <v>4</v>
      </c>
      <c r="G39" s="10" t="s">
        <v>11</v>
      </c>
      <c r="H39" s="10" t="s">
        <v>17</v>
      </c>
      <c r="I39" s="10" t="s">
        <v>240</v>
      </c>
      <c r="J39" s="10">
        <v>3</v>
      </c>
      <c r="K39" s="10" t="s">
        <v>103</v>
      </c>
      <c r="L39" s="10" t="s">
        <v>21</v>
      </c>
      <c r="M39" s="10" t="s">
        <v>12</v>
      </c>
      <c r="N39" s="10" t="s">
        <v>192</v>
      </c>
      <c r="O39" s="10" t="s">
        <v>65</v>
      </c>
      <c r="P39" s="10" t="s">
        <v>68</v>
      </c>
      <c r="Q39" s="10" t="s">
        <v>67</v>
      </c>
      <c r="R39" s="10" t="s">
        <v>69</v>
      </c>
      <c r="S39" s="10" t="s">
        <v>64</v>
      </c>
      <c r="T39" s="10" t="s">
        <v>66</v>
      </c>
      <c r="U39" s="10">
        <v>5</v>
      </c>
      <c r="V39" s="10" t="s">
        <v>26</v>
      </c>
      <c r="W39" s="10">
        <v>2</v>
      </c>
      <c r="X39" s="10" t="s">
        <v>241</v>
      </c>
      <c r="Y39" s="10" t="s">
        <v>242</v>
      </c>
      <c r="Z39" s="10" t="s">
        <v>243</v>
      </c>
      <c r="AA39" s="10" t="s">
        <v>11</v>
      </c>
      <c r="AB39" s="10" t="s">
        <v>12</v>
      </c>
      <c r="AC39" s="10" t="s">
        <v>12</v>
      </c>
      <c r="AD39" s="10" t="s">
        <v>222</v>
      </c>
      <c r="AE39" s="13">
        <v>0</v>
      </c>
      <c r="AF39" s="13">
        <v>0</v>
      </c>
      <c r="AG39" s="13">
        <v>0</v>
      </c>
      <c r="AH39" s="13">
        <v>0</v>
      </c>
      <c r="AI39" s="13">
        <v>0</v>
      </c>
      <c r="AJ39" s="13">
        <v>0</v>
      </c>
    </row>
    <row r="40" spans="1:36" ht="105" x14ac:dyDescent="0.2">
      <c r="A40" s="9" t="s">
        <v>36</v>
      </c>
      <c r="B40" s="9" t="s">
        <v>5</v>
      </c>
      <c r="C40" s="9" t="s">
        <v>8</v>
      </c>
      <c r="D40" s="9">
        <v>3</v>
      </c>
      <c r="E40" s="9">
        <v>5</v>
      </c>
      <c r="F40" s="9">
        <v>3</v>
      </c>
      <c r="G40" s="9" t="s">
        <v>12</v>
      </c>
      <c r="H40" s="9" t="s">
        <v>17</v>
      </c>
      <c r="I40" s="9" t="s">
        <v>99</v>
      </c>
      <c r="J40" s="9">
        <v>3</v>
      </c>
      <c r="K40" s="9" t="s">
        <v>62</v>
      </c>
      <c r="L40" s="9" t="s">
        <v>21</v>
      </c>
      <c r="M40" s="9" t="s">
        <v>12</v>
      </c>
      <c r="N40" s="9" t="s">
        <v>177</v>
      </c>
      <c r="O40" s="9" t="s">
        <v>65</v>
      </c>
      <c r="P40" s="9" t="s">
        <v>68</v>
      </c>
      <c r="Q40" s="9" t="s">
        <v>64</v>
      </c>
      <c r="R40" s="9" t="s">
        <v>66</v>
      </c>
      <c r="S40" s="9" t="s">
        <v>69</v>
      </c>
      <c r="T40" s="9" t="s">
        <v>67</v>
      </c>
      <c r="U40" s="9">
        <v>4</v>
      </c>
      <c r="V40" s="9" t="s">
        <v>26</v>
      </c>
      <c r="W40" s="9">
        <v>1</v>
      </c>
      <c r="X40" s="9" t="s">
        <v>70</v>
      </c>
      <c r="Y40" s="9" t="s">
        <v>244</v>
      </c>
      <c r="Z40" s="9" t="s">
        <v>245</v>
      </c>
      <c r="AA40" s="9" t="s">
        <v>13</v>
      </c>
      <c r="AB40" s="9" t="s">
        <v>12</v>
      </c>
      <c r="AC40" s="9" t="s">
        <v>12</v>
      </c>
      <c r="AD40" s="9" t="s">
        <v>246</v>
      </c>
      <c r="AE40" s="12">
        <v>0</v>
      </c>
      <c r="AF40" s="12">
        <v>0</v>
      </c>
      <c r="AG40" s="12">
        <v>0</v>
      </c>
      <c r="AH40" s="12">
        <v>0</v>
      </c>
      <c r="AI40" s="12">
        <v>0</v>
      </c>
      <c r="AJ40" s="12">
        <v>0</v>
      </c>
    </row>
    <row r="41" spans="1:36" ht="92" x14ac:dyDescent="0.2">
      <c r="A41" s="10" t="s">
        <v>36</v>
      </c>
      <c r="B41" s="10" t="s">
        <v>5</v>
      </c>
      <c r="C41" s="10" t="s">
        <v>7</v>
      </c>
      <c r="D41" s="10">
        <v>4</v>
      </c>
      <c r="E41" s="10">
        <v>5</v>
      </c>
      <c r="F41" s="10">
        <v>4</v>
      </c>
      <c r="G41" s="10" t="s">
        <v>11</v>
      </c>
      <c r="H41" s="10" t="s">
        <v>16</v>
      </c>
      <c r="I41" s="10" t="s">
        <v>199</v>
      </c>
      <c r="J41" s="10">
        <v>4</v>
      </c>
      <c r="K41" s="10" t="s">
        <v>81</v>
      </c>
      <c r="L41" s="10" t="s">
        <v>21</v>
      </c>
      <c r="M41" s="10" t="s">
        <v>13</v>
      </c>
      <c r="N41" s="10" t="s">
        <v>159</v>
      </c>
      <c r="O41" s="10" t="s">
        <v>66</v>
      </c>
      <c r="P41" s="10" t="s">
        <v>67</v>
      </c>
      <c r="Q41" s="10" t="s">
        <v>65</v>
      </c>
      <c r="R41" s="10" t="s">
        <v>64</v>
      </c>
      <c r="S41" s="10" t="s">
        <v>68</v>
      </c>
      <c r="T41" s="10" t="s">
        <v>247</v>
      </c>
      <c r="U41" s="10">
        <v>5</v>
      </c>
      <c r="V41" s="10" t="s">
        <v>26</v>
      </c>
      <c r="W41" s="10">
        <v>2</v>
      </c>
      <c r="X41" s="10" t="s">
        <v>241</v>
      </c>
      <c r="Y41" s="10" t="s">
        <v>248</v>
      </c>
      <c r="Z41" s="10" t="s">
        <v>249</v>
      </c>
      <c r="AA41" s="10" t="s">
        <v>11</v>
      </c>
      <c r="AB41" s="10" t="s">
        <v>12</v>
      </c>
      <c r="AC41" s="10" t="s">
        <v>12</v>
      </c>
      <c r="AD41" s="10" t="s">
        <v>250</v>
      </c>
      <c r="AE41" s="13">
        <v>0</v>
      </c>
      <c r="AF41" s="13">
        <v>0</v>
      </c>
      <c r="AG41" s="13">
        <v>0</v>
      </c>
      <c r="AH41" s="13">
        <v>0</v>
      </c>
      <c r="AI41" s="13">
        <v>0</v>
      </c>
      <c r="AJ41" s="13">
        <v>0</v>
      </c>
    </row>
    <row r="42" spans="1:36" ht="118" x14ac:dyDescent="0.2">
      <c r="A42" s="9" t="s">
        <v>35</v>
      </c>
      <c r="B42" s="12">
        <v>0</v>
      </c>
      <c r="C42" s="12">
        <v>0</v>
      </c>
      <c r="D42" s="9">
        <v>3</v>
      </c>
      <c r="E42" s="9">
        <v>3</v>
      </c>
      <c r="F42" s="9">
        <v>4</v>
      </c>
      <c r="G42" s="9" t="s">
        <v>11</v>
      </c>
      <c r="H42" s="9" t="s">
        <v>11</v>
      </c>
      <c r="I42" s="12">
        <v>0</v>
      </c>
      <c r="J42" s="9">
        <v>4</v>
      </c>
      <c r="K42" s="9" t="s">
        <v>62</v>
      </c>
      <c r="L42" s="9" t="s">
        <v>22</v>
      </c>
      <c r="M42" s="9" t="s">
        <v>12</v>
      </c>
      <c r="N42" s="9" t="s">
        <v>192</v>
      </c>
      <c r="O42" s="9" t="s">
        <v>64</v>
      </c>
      <c r="P42" s="9" t="s">
        <v>67</v>
      </c>
      <c r="Q42" s="9" t="s">
        <v>66</v>
      </c>
      <c r="R42" s="9" t="s">
        <v>65</v>
      </c>
      <c r="S42" s="9" t="s">
        <v>68</v>
      </c>
      <c r="T42" s="9" t="s">
        <v>69</v>
      </c>
      <c r="U42" s="9">
        <v>4</v>
      </c>
      <c r="V42" s="9" t="s">
        <v>27</v>
      </c>
      <c r="W42" s="9">
        <v>1</v>
      </c>
      <c r="X42" s="9" t="s">
        <v>251</v>
      </c>
      <c r="Y42" s="9" t="s">
        <v>252</v>
      </c>
      <c r="Z42" s="9" t="s">
        <v>253</v>
      </c>
      <c r="AA42" s="9" t="s">
        <v>12</v>
      </c>
      <c r="AB42" s="9" t="s">
        <v>12</v>
      </c>
      <c r="AC42" s="9" t="s">
        <v>12</v>
      </c>
      <c r="AD42" s="9" t="s">
        <v>254</v>
      </c>
      <c r="AE42" s="12">
        <v>0</v>
      </c>
      <c r="AF42" s="12">
        <v>0</v>
      </c>
      <c r="AG42" s="12">
        <v>0</v>
      </c>
      <c r="AH42" s="12">
        <v>0</v>
      </c>
      <c r="AI42" s="12">
        <v>0</v>
      </c>
      <c r="AJ42" s="12">
        <v>0</v>
      </c>
    </row>
    <row r="43" spans="1:36" ht="105" x14ac:dyDescent="0.2">
      <c r="A43" s="10" t="s">
        <v>35</v>
      </c>
      <c r="B43" s="13">
        <v>0</v>
      </c>
      <c r="C43" s="13">
        <v>0</v>
      </c>
      <c r="D43" s="10">
        <v>1</v>
      </c>
      <c r="E43" s="10">
        <v>2</v>
      </c>
      <c r="F43" s="10">
        <v>1</v>
      </c>
      <c r="G43" s="10" t="s">
        <v>11</v>
      </c>
      <c r="H43" s="10" t="s">
        <v>16</v>
      </c>
      <c r="I43" s="10" t="s">
        <v>255</v>
      </c>
      <c r="J43" s="10">
        <v>2</v>
      </c>
      <c r="K43" s="10" t="s">
        <v>88</v>
      </c>
      <c r="L43" s="10" t="s">
        <v>21</v>
      </c>
      <c r="M43" s="10" t="s">
        <v>12</v>
      </c>
      <c r="N43" s="10" t="s">
        <v>177</v>
      </c>
      <c r="O43" s="10" t="s">
        <v>69</v>
      </c>
      <c r="P43" s="10" t="s">
        <v>68</v>
      </c>
      <c r="Q43" s="10" t="s">
        <v>64</v>
      </c>
      <c r="R43" s="10" t="s">
        <v>65</v>
      </c>
      <c r="S43" s="10" t="s">
        <v>67</v>
      </c>
      <c r="T43" s="10" t="s">
        <v>66</v>
      </c>
      <c r="U43" s="10">
        <v>5</v>
      </c>
      <c r="V43" s="10" t="s">
        <v>26</v>
      </c>
      <c r="W43" s="10">
        <v>1</v>
      </c>
      <c r="X43" s="10" t="s">
        <v>256</v>
      </c>
      <c r="Y43" s="10" t="s">
        <v>244</v>
      </c>
      <c r="Z43" s="10" t="s">
        <v>257</v>
      </c>
      <c r="AA43" s="10" t="s">
        <v>12</v>
      </c>
      <c r="AB43" s="10" t="s">
        <v>12</v>
      </c>
      <c r="AC43" s="10" t="s">
        <v>12</v>
      </c>
      <c r="AD43" s="10" t="s">
        <v>139</v>
      </c>
      <c r="AE43" s="13">
        <v>0</v>
      </c>
      <c r="AF43" s="13">
        <v>0</v>
      </c>
      <c r="AG43" s="13">
        <v>0</v>
      </c>
      <c r="AH43" s="13">
        <v>0</v>
      </c>
      <c r="AI43" s="13">
        <v>0</v>
      </c>
      <c r="AJ43" s="13">
        <v>0</v>
      </c>
    </row>
    <row r="44" spans="1:36" ht="53" x14ac:dyDescent="0.2">
      <c r="A44" s="9" t="s">
        <v>35</v>
      </c>
      <c r="B44" s="12">
        <v>0</v>
      </c>
      <c r="C44" s="12">
        <v>0</v>
      </c>
      <c r="D44" s="9">
        <v>2</v>
      </c>
      <c r="E44" s="9">
        <v>2</v>
      </c>
      <c r="F44" s="9">
        <v>4</v>
      </c>
      <c r="G44" s="9" t="s">
        <v>13</v>
      </c>
      <c r="H44" s="9" t="s">
        <v>11</v>
      </c>
      <c r="I44" s="12">
        <v>0</v>
      </c>
      <c r="J44" s="9">
        <v>5</v>
      </c>
      <c r="K44" s="9" t="s">
        <v>81</v>
      </c>
      <c r="L44" s="9" t="s">
        <v>20</v>
      </c>
      <c r="M44" s="9" t="s">
        <v>12</v>
      </c>
      <c r="N44" s="9" t="s">
        <v>63</v>
      </c>
      <c r="O44" s="9" t="s">
        <v>66</v>
      </c>
      <c r="P44" s="9" t="s">
        <v>68</v>
      </c>
      <c r="Q44" s="9" t="s">
        <v>64</v>
      </c>
      <c r="R44" s="9" t="s">
        <v>67</v>
      </c>
      <c r="S44" s="9" t="s">
        <v>69</v>
      </c>
      <c r="T44" s="9" t="s">
        <v>65</v>
      </c>
      <c r="U44" s="9">
        <v>2</v>
      </c>
      <c r="V44" s="9" t="s">
        <v>27</v>
      </c>
      <c r="W44" s="9">
        <v>4</v>
      </c>
      <c r="X44" s="9" t="s">
        <v>190</v>
      </c>
      <c r="Y44" s="9" t="s">
        <v>183</v>
      </c>
      <c r="Z44" s="9" t="s">
        <v>146</v>
      </c>
      <c r="AA44" s="9" t="s">
        <v>12</v>
      </c>
      <c r="AB44" s="9" t="s">
        <v>11</v>
      </c>
      <c r="AC44" s="9" t="s">
        <v>11</v>
      </c>
      <c r="AD44" s="9" t="s">
        <v>169</v>
      </c>
      <c r="AE44" s="12">
        <v>0</v>
      </c>
      <c r="AF44" s="12">
        <v>0</v>
      </c>
      <c r="AG44" s="12">
        <v>0</v>
      </c>
      <c r="AH44" s="12">
        <v>0</v>
      </c>
      <c r="AI44" s="12">
        <v>0</v>
      </c>
      <c r="AJ44" s="12">
        <v>0</v>
      </c>
    </row>
    <row r="45" spans="1:36" ht="92" x14ac:dyDescent="0.2">
      <c r="A45" s="10" t="s">
        <v>36</v>
      </c>
      <c r="B45" s="10" t="s">
        <v>5</v>
      </c>
      <c r="C45" s="10" t="s">
        <v>7</v>
      </c>
      <c r="D45" s="10">
        <v>2</v>
      </c>
      <c r="E45" s="10">
        <v>4</v>
      </c>
      <c r="F45" s="10">
        <v>3</v>
      </c>
      <c r="G45" s="10" t="s">
        <v>11</v>
      </c>
      <c r="H45" s="10" t="s">
        <v>11</v>
      </c>
      <c r="I45" s="13">
        <v>0</v>
      </c>
      <c r="J45" s="10">
        <v>2</v>
      </c>
      <c r="K45" s="10" t="s">
        <v>88</v>
      </c>
      <c r="L45" s="10" t="s">
        <v>21</v>
      </c>
      <c r="M45" s="10" t="s">
        <v>12</v>
      </c>
      <c r="N45" s="10" t="s">
        <v>258</v>
      </c>
      <c r="O45" s="10" t="s">
        <v>68</v>
      </c>
      <c r="P45" s="10" t="s">
        <v>66</v>
      </c>
      <c r="Q45" s="10" t="s">
        <v>65</v>
      </c>
      <c r="R45" s="10" t="s">
        <v>64</v>
      </c>
      <c r="S45" s="10" t="s">
        <v>69</v>
      </c>
      <c r="T45" s="10" t="s">
        <v>67</v>
      </c>
      <c r="U45" s="10">
        <v>4</v>
      </c>
      <c r="V45" s="10" t="s">
        <v>26</v>
      </c>
      <c r="W45" s="10">
        <v>1</v>
      </c>
      <c r="X45" s="10" t="s">
        <v>154</v>
      </c>
      <c r="Y45" s="10" t="s">
        <v>259</v>
      </c>
      <c r="Z45" s="10" t="s">
        <v>260</v>
      </c>
      <c r="AA45" s="10" t="s">
        <v>12</v>
      </c>
      <c r="AB45" s="10" t="s">
        <v>12</v>
      </c>
      <c r="AC45" s="10" t="s">
        <v>12</v>
      </c>
      <c r="AD45" s="10" t="s">
        <v>157</v>
      </c>
      <c r="AE45" s="13">
        <v>0</v>
      </c>
      <c r="AF45" s="13">
        <v>0</v>
      </c>
      <c r="AG45" s="13">
        <v>0</v>
      </c>
      <c r="AH45" s="13">
        <v>0</v>
      </c>
      <c r="AI45" s="13">
        <v>0</v>
      </c>
      <c r="AJ45" s="13">
        <v>0</v>
      </c>
    </row>
    <row r="46" spans="1:36" ht="66" x14ac:dyDescent="0.2">
      <c r="A46" s="9" t="s">
        <v>36</v>
      </c>
      <c r="B46" s="9" t="s">
        <v>5</v>
      </c>
      <c r="C46" s="9" t="s">
        <v>7</v>
      </c>
      <c r="D46" s="9">
        <v>3</v>
      </c>
      <c r="E46" s="9">
        <v>4</v>
      </c>
      <c r="F46" s="9">
        <v>4</v>
      </c>
      <c r="G46" s="9" t="s">
        <v>12</v>
      </c>
      <c r="H46" s="9" t="s">
        <v>17</v>
      </c>
      <c r="I46" s="9" t="s">
        <v>261</v>
      </c>
      <c r="J46" s="9">
        <v>5</v>
      </c>
      <c r="K46" s="9" t="s">
        <v>88</v>
      </c>
      <c r="L46" s="9" t="s">
        <v>21</v>
      </c>
      <c r="M46" s="9" t="s">
        <v>11</v>
      </c>
      <c r="N46" s="9" t="s">
        <v>63</v>
      </c>
      <c r="O46" s="9" t="s">
        <v>67</v>
      </c>
      <c r="P46" s="9" t="s">
        <v>65</v>
      </c>
      <c r="Q46" s="9" t="s">
        <v>66</v>
      </c>
      <c r="R46" s="9" t="s">
        <v>64</v>
      </c>
      <c r="S46" s="9" t="s">
        <v>68</v>
      </c>
      <c r="T46" s="9" t="s">
        <v>69</v>
      </c>
      <c r="U46" s="9">
        <v>5</v>
      </c>
      <c r="V46" s="9" t="s">
        <v>28</v>
      </c>
      <c r="W46" s="9">
        <v>3</v>
      </c>
      <c r="X46" s="9" t="s">
        <v>220</v>
      </c>
      <c r="Y46" s="9" t="s">
        <v>187</v>
      </c>
      <c r="Z46" s="9" t="s">
        <v>262</v>
      </c>
      <c r="AA46" s="9" t="s">
        <v>11</v>
      </c>
      <c r="AB46" s="9" t="s">
        <v>12</v>
      </c>
      <c r="AC46" s="9" t="s">
        <v>12</v>
      </c>
      <c r="AD46" s="9" t="s">
        <v>263</v>
      </c>
      <c r="AE46" s="12">
        <v>0</v>
      </c>
      <c r="AF46" s="12">
        <v>0</v>
      </c>
      <c r="AG46" s="12">
        <v>0</v>
      </c>
      <c r="AH46" s="12">
        <v>0</v>
      </c>
      <c r="AI46" s="12">
        <v>0</v>
      </c>
      <c r="AJ46" s="12">
        <v>0</v>
      </c>
    </row>
    <row r="47" spans="1:36" ht="40" x14ac:dyDescent="0.2">
      <c r="A47" s="10" t="s">
        <v>36</v>
      </c>
      <c r="B47" s="10" t="s">
        <v>5</v>
      </c>
      <c r="C47" s="10" t="s">
        <v>9</v>
      </c>
      <c r="D47" s="10">
        <v>4</v>
      </c>
      <c r="E47" s="10">
        <v>4</v>
      </c>
      <c r="F47" s="10">
        <v>4</v>
      </c>
      <c r="G47" s="10" t="s">
        <v>12</v>
      </c>
      <c r="H47" s="10" t="s">
        <v>15</v>
      </c>
      <c r="I47" s="10" t="s">
        <v>94</v>
      </c>
      <c r="J47" s="10">
        <v>4</v>
      </c>
      <c r="K47" s="10" t="s">
        <v>103</v>
      </c>
      <c r="L47" s="10" t="s">
        <v>20</v>
      </c>
      <c r="M47" s="10" t="s">
        <v>11</v>
      </c>
      <c r="N47" s="13">
        <v>0</v>
      </c>
      <c r="O47" s="10" t="s">
        <v>65</v>
      </c>
      <c r="P47" s="10" t="s">
        <v>64</v>
      </c>
      <c r="Q47" s="10" t="s">
        <v>66</v>
      </c>
      <c r="R47" s="10" t="s">
        <v>68</v>
      </c>
      <c r="S47" s="10" t="s">
        <v>67</v>
      </c>
      <c r="T47" s="10" t="s">
        <v>69</v>
      </c>
      <c r="U47" s="10">
        <v>5</v>
      </c>
      <c r="V47" s="10" t="s">
        <v>26</v>
      </c>
      <c r="W47" s="10">
        <v>3</v>
      </c>
      <c r="X47" s="10" t="s">
        <v>264</v>
      </c>
      <c r="Y47" s="10" t="s">
        <v>238</v>
      </c>
      <c r="Z47" s="10" t="s">
        <v>265</v>
      </c>
      <c r="AA47" s="10" t="s">
        <v>13</v>
      </c>
      <c r="AB47" s="10" t="s">
        <v>12</v>
      </c>
      <c r="AC47" s="10" t="s">
        <v>12</v>
      </c>
      <c r="AD47" s="10" t="s">
        <v>181</v>
      </c>
      <c r="AE47" s="13">
        <v>0</v>
      </c>
      <c r="AF47" s="13">
        <v>0</v>
      </c>
      <c r="AG47" s="13">
        <v>0</v>
      </c>
      <c r="AH47" s="13">
        <v>0</v>
      </c>
      <c r="AI47" s="13">
        <v>0</v>
      </c>
      <c r="AJ47" s="13">
        <v>0</v>
      </c>
    </row>
    <row r="48" spans="1:36" ht="105" x14ac:dyDescent="0.2">
      <c r="A48" s="9" t="s">
        <v>36</v>
      </c>
      <c r="B48" s="9" t="s">
        <v>5</v>
      </c>
      <c r="C48" s="9" t="s">
        <v>7</v>
      </c>
      <c r="D48" s="9">
        <v>4</v>
      </c>
      <c r="E48" s="9">
        <v>4</v>
      </c>
      <c r="F48" s="9">
        <v>4</v>
      </c>
      <c r="G48" s="9" t="s">
        <v>11</v>
      </c>
      <c r="H48" s="9" t="s">
        <v>11</v>
      </c>
      <c r="I48" s="12">
        <v>0</v>
      </c>
      <c r="J48" s="9">
        <v>3</v>
      </c>
      <c r="K48" s="9" t="s">
        <v>81</v>
      </c>
      <c r="L48" s="9" t="s">
        <v>21</v>
      </c>
      <c r="M48" s="9" t="s">
        <v>13</v>
      </c>
      <c r="N48" s="9" t="s">
        <v>159</v>
      </c>
      <c r="O48" s="9" t="s">
        <v>66</v>
      </c>
      <c r="P48" s="9" t="s">
        <v>64</v>
      </c>
      <c r="Q48" s="9" t="s">
        <v>65</v>
      </c>
      <c r="R48" s="9" t="s">
        <v>68</v>
      </c>
      <c r="S48" s="9" t="s">
        <v>67</v>
      </c>
      <c r="T48" s="9" t="s">
        <v>69</v>
      </c>
      <c r="U48" s="9">
        <v>4</v>
      </c>
      <c r="V48" s="9" t="s">
        <v>26</v>
      </c>
      <c r="W48" s="9">
        <v>2</v>
      </c>
      <c r="X48" s="9" t="s">
        <v>266</v>
      </c>
      <c r="Y48" s="9" t="s">
        <v>215</v>
      </c>
      <c r="Z48" s="9" t="s">
        <v>267</v>
      </c>
      <c r="AA48" s="9" t="s">
        <v>12</v>
      </c>
      <c r="AB48" s="9" t="s">
        <v>12</v>
      </c>
      <c r="AC48" s="9" t="s">
        <v>11</v>
      </c>
      <c r="AD48" s="9" t="s">
        <v>268</v>
      </c>
      <c r="AE48" s="12">
        <v>0</v>
      </c>
      <c r="AF48" s="12">
        <v>0</v>
      </c>
      <c r="AG48" s="12">
        <v>0</v>
      </c>
      <c r="AH48" s="12">
        <v>0</v>
      </c>
      <c r="AI48" s="12">
        <v>0</v>
      </c>
      <c r="AJ48" s="12">
        <v>0</v>
      </c>
    </row>
    <row r="49" spans="1:36" ht="79" x14ac:dyDescent="0.2">
      <c r="A49" s="10" t="s">
        <v>36</v>
      </c>
      <c r="B49" s="10" t="s">
        <v>5</v>
      </c>
      <c r="C49" s="10" t="s">
        <v>7</v>
      </c>
      <c r="D49" s="10">
        <v>3</v>
      </c>
      <c r="E49" s="10">
        <v>5</v>
      </c>
      <c r="F49" s="10">
        <v>4</v>
      </c>
      <c r="G49" s="10" t="s">
        <v>11</v>
      </c>
      <c r="H49" s="10" t="s">
        <v>17</v>
      </c>
      <c r="I49" s="10" t="s">
        <v>99</v>
      </c>
      <c r="J49" s="10">
        <v>3</v>
      </c>
      <c r="K49" s="10" t="s">
        <v>81</v>
      </c>
      <c r="L49" s="10" t="s">
        <v>20</v>
      </c>
      <c r="M49" s="10" t="s">
        <v>12</v>
      </c>
      <c r="N49" s="10" t="s">
        <v>159</v>
      </c>
      <c r="O49" s="10" t="s">
        <v>68</v>
      </c>
      <c r="P49" s="10" t="s">
        <v>65</v>
      </c>
      <c r="Q49" s="10" t="s">
        <v>66</v>
      </c>
      <c r="R49" s="10" t="s">
        <v>64</v>
      </c>
      <c r="S49" s="10" t="s">
        <v>67</v>
      </c>
      <c r="T49" s="10" t="s">
        <v>69</v>
      </c>
      <c r="U49" s="10">
        <v>3</v>
      </c>
      <c r="V49" s="10" t="s">
        <v>28</v>
      </c>
      <c r="W49" s="10">
        <v>2</v>
      </c>
      <c r="X49" s="10" t="s">
        <v>269</v>
      </c>
      <c r="Y49" s="10" t="s">
        <v>270</v>
      </c>
      <c r="Z49" s="10" t="s">
        <v>271</v>
      </c>
      <c r="AA49" s="10" t="s">
        <v>12</v>
      </c>
      <c r="AB49" s="10" t="s">
        <v>12</v>
      </c>
      <c r="AC49" s="10" t="s">
        <v>12</v>
      </c>
      <c r="AD49" s="10" t="s">
        <v>272</v>
      </c>
      <c r="AE49" s="13">
        <v>0</v>
      </c>
      <c r="AF49" s="13">
        <v>0</v>
      </c>
      <c r="AG49" s="13">
        <v>0</v>
      </c>
      <c r="AH49" s="13">
        <v>0</v>
      </c>
      <c r="AI49" s="13">
        <v>0</v>
      </c>
      <c r="AJ49" s="13">
        <v>0</v>
      </c>
    </row>
    <row r="50" spans="1:36" ht="105" x14ac:dyDescent="0.2">
      <c r="A50" s="9" t="s">
        <v>36</v>
      </c>
      <c r="B50" s="9" t="s">
        <v>5</v>
      </c>
      <c r="C50" s="9" t="s">
        <v>8</v>
      </c>
      <c r="D50" s="9">
        <v>4</v>
      </c>
      <c r="E50" s="9">
        <v>3</v>
      </c>
      <c r="F50" s="9">
        <v>4</v>
      </c>
      <c r="G50" s="9" t="s">
        <v>12</v>
      </c>
      <c r="H50" s="9" t="s">
        <v>15</v>
      </c>
      <c r="I50" s="9" t="s">
        <v>587</v>
      </c>
      <c r="J50" s="9">
        <v>5</v>
      </c>
      <c r="K50" s="9" t="s">
        <v>81</v>
      </c>
      <c r="L50" s="9" t="s">
        <v>20</v>
      </c>
      <c r="M50" s="9" t="s">
        <v>12</v>
      </c>
      <c r="N50" s="9" t="s">
        <v>273</v>
      </c>
      <c r="O50" s="9" t="s">
        <v>66</v>
      </c>
      <c r="P50" s="9" t="s">
        <v>64</v>
      </c>
      <c r="Q50" s="9" t="s">
        <v>68</v>
      </c>
      <c r="R50" s="9" t="s">
        <v>65</v>
      </c>
      <c r="S50" s="9" t="s">
        <v>67</v>
      </c>
      <c r="T50" s="9" t="s">
        <v>69</v>
      </c>
      <c r="U50" s="9">
        <v>4</v>
      </c>
      <c r="V50" s="9">
        <v>0</v>
      </c>
      <c r="W50" s="9">
        <v>3</v>
      </c>
      <c r="X50" s="9" t="s">
        <v>136</v>
      </c>
      <c r="Y50" s="9" t="s">
        <v>370</v>
      </c>
      <c r="Z50" s="9" t="s">
        <v>591</v>
      </c>
      <c r="AA50" s="9" t="s">
        <v>11</v>
      </c>
      <c r="AB50" s="9" t="s">
        <v>12</v>
      </c>
      <c r="AC50" s="9" t="s">
        <v>12</v>
      </c>
      <c r="AD50" s="9" t="s">
        <v>73</v>
      </c>
      <c r="AE50" s="9" t="s">
        <v>274</v>
      </c>
      <c r="AF50" s="9" t="s">
        <v>275</v>
      </c>
      <c r="AG50" s="9">
        <v>0</v>
      </c>
      <c r="AH50" s="9">
        <v>0</v>
      </c>
      <c r="AI50" s="9">
        <v>0</v>
      </c>
      <c r="AJ50" s="9">
        <v>0</v>
      </c>
    </row>
    <row r="51" spans="1:36" ht="105" x14ac:dyDescent="0.2">
      <c r="A51" s="10" t="s">
        <v>35</v>
      </c>
      <c r="B51" s="13">
        <v>0</v>
      </c>
      <c r="C51" s="13">
        <v>0</v>
      </c>
      <c r="D51" s="10">
        <v>2</v>
      </c>
      <c r="E51" s="10">
        <v>4</v>
      </c>
      <c r="F51" s="10">
        <v>2</v>
      </c>
      <c r="G51" s="10" t="s">
        <v>11</v>
      </c>
      <c r="H51" s="10" t="s">
        <v>16</v>
      </c>
      <c r="I51" s="10" t="s">
        <v>94</v>
      </c>
      <c r="J51" s="10">
        <v>2</v>
      </c>
      <c r="K51" s="10" t="s">
        <v>62</v>
      </c>
      <c r="L51" s="10" t="s">
        <v>20</v>
      </c>
      <c r="M51" s="10" t="s">
        <v>13</v>
      </c>
      <c r="N51" s="10" t="s">
        <v>120</v>
      </c>
      <c r="O51" s="10" t="s">
        <v>66</v>
      </c>
      <c r="P51" s="10" t="s">
        <v>64</v>
      </c>
      <c r="Q51" s="10" t="s">
        <v>69</v>
      </c>
      <c r="R51" s="10" t="s">
        <v>68</v>
      </c>
      <c r="S51" s="10" t="s">
        <v>65</v>
      </c>
      <c r="T51" s="10" t="s">
        <v>67</v>
      </c>
      <c r="U51" s="10">
        <v>4</v>
      </c>
      <c r="V51" s="10" t="s">
        <v>26</v>
      </c>
      <c r="W51" s="10">
        <v>2</v>
      </c>
      <c r="X51" s="10" t="s">
        <v>276</v>
      </c>
      <c r="Y51" s="10" t="s">
        <v>111</v>
      </c>
      <c r="Z51" s="10" t="s">
        <v>265</v>
      </c>
      <c r="AA51" s="10" t="s">
        <v>12</v>
      </c>
      <c r="AB51" s="10" t="s">
        <v>12</v>
      </c>
      <c r="AC51" s="10" t="s">
        <v>12</v>
      </c>
      <c r="AD51" s="10" t="s">
        <v>113</v>
      </c>
      <c r="AE51" s="13">
        <v>0</v>
      </c>
      <c r="AF51" s="13">
        <v>0</v>
      </c>
      <c r="AG51" s="13">
        <v>0</v>
      </c>
      <c r="AH51" s="13">
        <v>0</v>
      </c>
      <c r="AI51" s="13">
        <v>0</v>
      </c>
      <c r="AJ51" s="13">
        <v>0</v>
      </c>
    </row>
    <row r="52" spans="1:36" ht="92" x14ac:dyDescent="0.2">
      <c r="A52" s="9" t="s">
        <v>35</v>
      </c>
      <c r="B52" s="12">
        <v>0</v>
      </c>
      <c r="C52" s="12">
        <v>0</v>
      </c>
      <c r="D52" s="9">
        <v>2</v>
      </c>
      <c r="E52" s="9">
        <v>3</v>
      </c>
      <c r="F52" s="9">
        <v>2</v>
      </c>
      <c r="G52" s="9" t="s">
        <v>11</v>
      </c>
      <c r="H52" s="9" t="s">
        <v>16</v>
      </c>
      <c r="I52" s="9" t="s">
        <v>87</v>
      </c>
      <c r="J52" s="9">
        <v>4</v>
      </c>
      <c r="K52" s="9" t="s">
        <v>103</v>
      </c>
      <c r="L52" s="9" t="s">
        <v>20</v>
      </c>
      <c r="M52" s="9" t="s">
        <v>11</v>
      </c>
      <c r="N52" s="12">
        <v>0</v>
      </c>
      <c r="O52" s="9" t="s">
        <v>67</v>
      </c>
      <c r="P52" s="9" t="s">
        <v>64</v>
      </c>
      <c r="Q52" s="9" t="s">
        <v>69</v>
      </c>
      <c r="R52" s="9" t="s">
        <v>66</v>
      </c>
      <c r="S52" s="9" t="s">
        <v>65</v>
      </c>
      <c r="T52" s="9" t="s">
        <v>68</v>
      </c>
      <c r="U52" s="9">
        <v>3</v>
      </c>
      <c r="V52" s="9" t="s">
        <v>27</v>
      </c>
      <c r="W52" s="9">
        <v>1</v>
      </c>
      <c r="X52" s="9" t="s">
        <v>163</v>
      </c>
      <c r="Y52" s="9" t="s">
        <v>122</v>
      </c>
      <c r="Z52" s="9" t="s">
        <v>277</v>
      </c>
      <c r="AA52" s="9" t="s">
        <v>11</v>
      </c>
      <c r="AB52" s="9" t="s">
        <v>12</v>
      </c>
      <c r="AC52" s="9" t="s">
        <v>12</v>
      </c>
      <c r="AD52" s="9" t="s">
        <v>113</v>
      </c>
      <c r="AE52" s="12">
        <v>0</v>
      </c>
      <c r="AF52" s="12">
        <v>0</v>
      </c>
      <c r="AG52" s="12">
        <v>0</v>
      </c>
      <c r="AH52" s="12">
        <v>0</v>
      </c>
      <c r="AI52" s="12">
        <v>0</v>
      </c>
      <c r="AJ52" s="12">
        <v>0</v>
      </c>
    </row>
    <row r="53" spans="1:36" ht="92" x14ac:dyDescent="0.2">
      <c r="A53" s="10" t="s">
        <v>35</v>
      </c>
      <c r="B53" s="13">
        <v>0</v>
      </c>
      <c r="C53" s="13">
        <v>0</v>
      </c>
      <c r="D53" s="10">
        <v>3</v>
      </c>
      <c r="E53" s="10">
        <v>4</v>
      </c>
      <c r="F53" s="10">
        <v>2</v>
      </c>
      <c r="G53" s="10" t="s">
        <v>13</v>
      </c>
      <c r="H53" s="10" t="s">
        <v>16</v>
      </c>
      <c r="I53" s="10" t="s">
        <v>94</v>
      </c>
      <c r="J53" s="10">
        <v>3</v>
      </c>
      <c r="K53" s="10" t="s">
        <v>103</v>
      </c>
      <c r="L53" s="10" t="s">
        <v>21</v>
      </c>
      <c r="M53" s="10" t="s">
        <v>12</v>
      </c>
      <c r="N53" s="10" t="s">
        <v>192</v>
      </c>
      <c r="O53" s="10" t="s">
        <v>64</v>
      </c>
      <c r="P53" s="10" t="s">
        <v>66</v>
      </c>
      <c r="Q53" s="10" t="s">
        <v>68</v>
      </c>
      <c r="R53" s="10" t="s">
        <v>65</v>
      </c>
      <c r="S53" s="10" t="s">
        <v>67</v>
      </c>
      <c r="T53" s="10" t="s">
        <v>69</v>
      </c>
      <c r="U53" s="10">
        <v>4</v>
      </c>
      <c r="V53" s="10" t="s">
        <v>27</v>
      </c>
      <c r="W53" s="10">
        <v>2</v>
      </c>
      <c r="X53" s="10" t="s">
        <v>154</v>
      </c>
      <c r="Y53" s="10" t="s">
        <v>278</v>
      </c>
      <c r="Z53" s="10" t="s">
        <v>277</v>
      </c>
      <c r="AA53" s="10" t="s">
        <v>12</v>
      </c>
      <c r="AB53" s="10" t="s">
        <v>12</v>
      </c>
      <c r="AC53" s="10" t="s">
        <v>12</v>
      </c>
      <c r="AD53" s="10" t="s">
        <v>86</v>
      </c>
      <c r="AE53" s="13">
        <v>0</v>
      </c>
      <c r="AF53" s="13">
        <v>0</v>
      </c>
      <c r="AG53" s="13">
        <v>0</v>
      </c>
      <c r="AH53" s="13">
        <v>0</v>
      </c>
      <c r="AI53" s="13">
        <v>0</v>
      </c>
      <c r="AJ53" s="13">
        <v>0</v>
      </c>
    </row>
    <row r="54" spans="1:36" ht="105" x14ac:dyDescent="0.2">
      <c r="A54" s="9" t="s">
        <v>35</v>
      </c>
      <c r="B54" s="12">
        <v>0</v>
      </c>
      <c r="C54" s="12">
        <v>0</v>
      </c>
      <c r="D54" s="9">
        <v>2</v>
      </c>
      <c r="E54" s="9">
        <v>3</v>
      </c>
      <c r="F54" s="9">
        <v>2</v>
      </c>
      <c r="G54" s="9" t="s">
        <v>13</v>
      </c>
      <c r="H54" s="9" t="s">
        <v>16</v>
      </c>
      <c r="I54" s="9" t="s">
        <v>87</v>
      </c>
      <c r="J54" s="9">
        <v>3</v>
      </c>
      <c r="K54" s="9" t="s">
        <v>103</v>
      </c>
      <c r="L54" s="9" t="s">
        <v>21</v>
      </c>
      <c r="M54" s="9" t="s">
        <v>12</v>
      </c>
      <c r="N54" s="9" t="s">
        <v>109</v>
      </c>
      <c r="O54" s="9" t="s">
        <v>68</v>
      </c>
      <c r="P54" s="9" t="s">
        <v>65</v>
      </c>
      <c r="Q54" s="9" t="s">
        <v>69</v>
      </c>
      <c r="R54" s="9" t="s">
        <v>64</v>
      </c>
      <c r="S54" s="9" t="s">
        <v>66</v>
      </c>
      <c r="T54" s="9" t="s">
        <v>67</v>
      </c>
      <c r="U54" s="9">
        <v>5</v>
      </c>
      <c r="V54" s="9" t="s">
        <v>26</v>
      </c>
      <c r="W54" s="9">
        <v>2</v>
      </c>
      <c r="X54" s="9" t="s">
        <v>136</v>
      </c>
      <c r="Y54" s="9" t="s">
        <v>279</v>
      </c>
      <c r="Z54" s="9" t="s">
        <v>280</v>
      </c>
      <c r="AA54" s="9" t="s">
        <v>13</v>
      </c>
      <c r="AB54" s="9" t="s">
        <v>12</v>
      </c>
      <c r="AC54" s="9" t="s">
        <v>12</v>
      </c>
      <c r="AD54" s="9" t="s">
        <v>281</v>
      </c>
      <c r="AE54" s="12">
        <v>0</v>
      </c>
      <c r="AF54" s="12">
        <v>0</v>
      </c>
      <c r="AG54" s="9" t="s">
        <v>282</v>
      </c>
      <c r="AH54" s="12" t="s">
        <v>208</v>
      </c>
      <c r="AI54" s="12">
        <v>0</v>
      </c>
      <c r="AJ54" s="12">
        <v>0</v>
      </c>
    </row>
    <row r="55" spans="1:36" ht="92" x14ac:dyDescent="0.2">
      <c r="A55" s="10" t="s">
        <v>35</v>
      </c>
      <c r="B55" s="13">
        <v>0</v>
      </c>
      <c r="C55" s="13">
        <v>0</v>
      </c>
      <c r="D55" s="10">
        <v>2</v>
      </c>
      <c r="E55" s="10">
        <v>3</v>
      </c>
      <c r="F55" s="10">
        <v>1</v>
      </c>
      <c r="G55" s="10" t="s">
        <v>11</v>
      </c>
      <c r="H55" s="10" t="s">
        <v>11</v>
      </c>
      <c r="I55" s="13">
        <v>0</v>
      </c>
      <c r="J55" s="10">
        <v>4</v>
      </c>
      <c r="K55" s="10" t="s">
        <v>103</v>
      </c>
      <c r="L55" s="10" t="s">
        <v>20</v>
      </c>
      <c r="M55" s="10" t="s">
        <v>12</v>
      </c>
      <c r="N55" s="10" t="s">
        <v>120</v>
      </c>
      <c r="O55" s="10" t="s">
        <v>64</v>
      </c>
      <c r="P55" s="10" t="s">
        <v>66</v>
      </c>
      <c r="Q55" s="10" t="s">
        <v>68</v>
      </c>
      <c r="R55" s="10" t="s">
        <v>67</v>
      </c>
      <c r="S55" s="10" t="s">
        <v>65</v>
      </c>
      <c r="T55" s="10" t="s">
        <v>69</v>
      </c>
      <c r="U55" s="10">
        <v>3</v>
      </c>
      <c r="V55" s="10" t="s">
        <v>26</v>
      </c>
      <c r="W55" s="10">
        <v>2</v>
      </c>
      <c r="X55" s="10" t="s">
        <v>154</v>
      </c>
      <c r="Y55" s="10" t="s">
        <v>71</v>
      </c>
      <c r="Z55" s="10" t="s">
        <v>283</v>
      </c>
      <c r="AA55" s="10" t="s">
        <v>12</v>
      </c>
      <c r="AB55" s="10" t="s">
        <v>12</v>
      </c>
      <c r="AC55" s="10" t="s">
        <v>12</v>
      </c>
      <c r="AD55" s="10" t="s">
        <v>284</v>
      </c>
      <c r="AE55" s="13">
        <v>0</v>
      </c>
      <c r="AF55" s="13">
        <v>0</v>
      </c>
      <c r="AG55" s="13">
        <v>0</v>
      </c>
      <c r="AH55" s="13">
        <v>0</v>
      </c>
      <c r="AI55" s="13">
        <v>0</v>
      </c>
      <c r="AJ55" s="13">
        <v>0</v>
      </c>
    </row>
    <row r="56" spans="1:36" ht="79" x14ac:dyDescent="0.2">
      <c r="A56" s="9" t="s">
        <v>35</v>
      </c>
      <c r="B56" s="12">
        <v>0</v>
      </c>
      <c r="C56" s="27">
        <v>0</v>
      </c>
      <c r="D56" s="9">
        <v>4</v>
      </c>
      <c r="E56" s="9">
        <v>3</v>
      </c>
      <c r="F56" s="9">
        <v>1</v>
      </c>
      <c r="G56" s="9" t="s">
        <v>11</v>
      </c>
      <c r="H56" s="9" t="s">
        <v>16</v>
      </c>
      <c r="I56" s="9" t="s">
        <v>94</v>
      </c>
      <c r="J56" s="9">
        <v>4</v>
      </c>
      <c r="K56" s="9" t="s">
        <v>103</v>
      </c>
      <c r="L56" s="9" t="s">
        <v>20</v>
      </c>
      <c r="M56" s="9" t="s">
        <v>13</v>
      </c>
      <c r="N56" s="12">
        <v>0</v>
      </c>
      <c r="O56" s="9" t="s">
        <v>64</v>
      </c>
      <c r="P56" s="9" t="s">
        <v>66</v>
      </c>
      <c r="Q56" s="9" t="s">
        <v>65</v>
      </c>
      <c r="R56" s="9" t="s">
        <v>67</v>
      </c>
      <c r="S56" s="9" t="s">
        <v>68</v>
      </c>
      <c r="T56" s="9" t="s">
        <v>69</v>
      </c>
      <c r="U56" s="9">
        <v>4</v>
      </c>
      <c r="V56" s="9" t="s">
        <v>27</v>
      </c>
      <c r="W56" s="9">
        <v>2</v>
      </c>
      <c r="X56" s="9" t="s">
        <v>285</v>
      </c>
      <c r="Y56" s="9" t="s">
        <v>286</v>
      </c>
      <c r="Z56" s="9" t="s">
        <v>287</v>
      </c>
      <c r="AA56" s="9" t="s">
        <v>13</v>
      </c>
      <c r="AB56" s="9" t="s">
        <v>12</v>
      </c>
      <c r="AC56" s="9" t="s">
        <v>12</v>
      </c>
      <c r="AD56" s="9" t="s">
        <v>86</v>
      </c>
      <c r="AE56" s="12">
        <v>0</v>
      </c>
      <c r="AF56" s="9">
        <v>0</v>
      </c>
      <c r="AG56" s="12">
        <v>0</v>
      </c>
      <c r="AH56" s="9">
        <v>0</v>
      </c>
      <c r="AI56" s="9" t="s">
        <v>288</v>
      </c>
      <c r="AJ56" s="9" t="s">
        <v>289</v>
      </c>
    </row>
    <row r="57" spans="1:36" ht="92" x14ac:dyDescent="0.2">
      <c r="A57" s="10" t="s">
        <v>35</v>
      </c>
      <c r="B57" s="13">
        <v>0</v>
      </c>
      <c r="C57" s="13">
        <v>0</v>
      </c>
      <c r="D57" s="10">
        <v>3</v>
      </c>
      <c r="E57" s="10">
        <v>4</v>
      </c>
      <c r="F57" s="10">
        <v>2</v>
      </c>
      <c r="G57" s="10" t="s">
        <v>11</v>
      </c>
      <c r="H57" s="10" t="s">
        <v>16</v>
      </c>
      <c r="I57" s="10" t="s">
        <v>99</v>
      </c>
      <c r="J57" s="10">
        <v>3</v>
      </c>
      <c r="K57" s="10" t="s">
        <v>103</v>
      </c>
      <c r="L57" s="10" t="s">
        <v>20</v>
      </c>
      <c r="M57" s="10" t="s">
        <v>12</v>
      </c>
      <c r="N57" s="10" t="s">
        <v>192</v>
      </c>
      <c r="O57" s="10" t="s">
        <v>66</v>
      </c>
      <c r="P57" s="10" t="s">
        <v>64</v>
      </c>
      <c r="Q57" s="10" t="s">
        <v>68</v>
      </c>
      <c r="R57" s="10" t="s">
        <v>65</v>
      </c>
      <c r="S57" s="10" t="s">
        <v>67</v>
      </c>
      <c r="T57" s="10" t="s">
        <v>69</v>
      </c>
      <c r="U57" s="10">
        <v>5</v>
      </c>
      <c r="V57" s="10" t="s">
        <v>27</v>
      </c>
      <c r="W57" s="10">
        <v>2</v>
      </c>
      <c r="X57" s="10" t="s">
        <v>77</v>
      </c>
      <c r="Y57" s="10" t="s">
        <v>248</v>
      </c>
      <c r="Z57" s="10" t="s">
        <v>290</v>
      </c>
      <c r="AA57" s="10" t="s">
        <v>12</v>
      </c>
      <c r="AB57" s="10" t="s">
        <v>12</v>
      </c>
      <c r="AC57" s="10" t="s">
        <v>12</v>
      </c>
      <c r="AD57" s="10" t="s">
        <v>291</v>
      </c>
      <c r="AE57" s="13">
        <v>0</v>
      </c>
      <c r="AF57" s="13">
        <v>0</v>
      </c>
      <c r="AG57" s="13">
        <v>0</v>
      </c>
      <c r="AH57" s="13">
        <v>0</v>
      </c>
      <c r="AI57" s="13">
        <v>0</v>
      </c>
      <c r="AJ57" s="13">
        <v>0</v>
      </c>
    </row>
    <row r="58" spans="1:36" ht="79" x14ac:dyDescent="0.2">
      <c r="A58" s="9" t="s">
        <v>35</v>
      </c>
      <c r="B58" s="12">
        <v>0</v>
      </c>
      <c r="C58" s="12">
        <v>0</v>
      </c>
      <c r="D58" s="9">
        <v>3</v>
      </c>
      <c r="E58" s="9">
        <v>3</v>
      </c>
      <c r="F58" s="9">
        <v>3</v>
      </c>
      <c r="G58" s="9" t="s">
        <v>11</v>
      </c>
      <c r="H58" s="9" t="s">
        <v>15</v>
      </c>
      <c r="I58" s="9" t="s">
        <v>99</v>
      </c>
      <c r="J58" s="9">
        <v>4</v>
      </c>
      <c r="K58" s="9" t="s">
        <v>81</v>
      </c>
      <c r="L58" s="9" t="s">
        <v>20</v>
      </c>
      <c r="M58" s="9" t="s">
        <v>11</v>
      </c>
      <c r="N58" s="12">
        <v>0</v>
      </c>
      <c r="O58" s="9" t="s">
        <v>68</v>
      </c>
      <c r="P58" s="9" t="s">
        <v>64</v>
      </c>
      <c r="Q58" s="9" t="s">
        <v>65</v>
      </c>
      <c r="R58" s="9" t="s">
        <v>66</v>
      </c>
      <c r="S58" s="9" t="s">
        <v>69</v>
      </c>
      <c r="T58" s="9" t="s">
        <v>67</v>
      </c>
      <c r="U58" s="9">
        <v>4</v>
      </c>
      <c r="V58" s="9" t="s">
        <v>27</v>
      </c>
      <c r="W58" s="9">
        <v>3</v>
      </c>
      <c r="X58" s="9" t="s">
        <v>292</v>
      </c>
      <c r="Y58" s="9" t="s">
        <v>215</v>
      </c>
      <c r="Z58" s="9" t="s">
        <v>293</v>
      </c>
      <c r="AA58" s="9" t="s">
        <v>12</v>
      </c>
      <c r="AB58" s="9" t="s">
        <v>12</v>
      </c>
      <c r="AC58" s="9" t="s">
        <v>12</v>
      </c>
      <c r="AD58" s="9" t="s">
        <v>157</v>
      </c>
      <c r="AE58" s="12">
        <v>0</v>
      </c>
      <c r="AF58" s="12">
        <v>0</v>
      </c>
      <c r="AG58" s="12">
        <v>0</v>
      </c>
      <c r="AH58" s="12">
        <v>0</v>
      </c>
      <c r="AI58" s="12">
        <v>0</v>
      </c>
      <c r="AJ58" s="12">
        <v>0</v>
      </c>
    </row>
    <row r="59" spans="1:36" ht="131" x14ac:dyDescent="0.2">
      <c r="A59" s="10" t="s">
        <v>35</v>
      </c>
      <c r="B59" s="13">
        <v>0</v>
      </c>
      <c r="C59" s="13">
        <v>0</v>
      </c>
      <c r="D59" s="10">
        <v>1</v>
      </c>
      <c r="E59" s="10">
        <v>3</v>
      </c>
      <c r="F59" s="10">
        <v>1</v>
      </c>
      <c r="G59" s="10" t="s">
        <v>12</v>
      </c>
      <c r="H59" s="10" t="s">
        <v>17</v>
      </c>
      <c r="I59" s="10" t="s">
        <v>87</v>
      </c>
      <c r="J59" s="10">
        <v>3</v>
      </c>
      <c r="K59" s="10" t="s">
        <v>103</v>
      </c>
      <c r="L59" s="10" t="s">
        <v>20</v>
      </c>
      <c r="M59" s="10" t="s">
        <v>12</v>
      </c>
      <c r="N59" s="10" t="s">
        <v>115</v>
      </c>
      <c r="O59" s="10" t="s">
        <v>66</v>
      </c>
      <c r="P59" s="10" t="s">
        <v>68</v>
      </c>
      <c r="Q59" s="10" t="s">
        <v>65</v>
      </c>
      <c r="R59" s="10" t="s">
        <v>64</v>
      </c>
      <c r="S59" s="10" t="s">
        <v>67</v>
      </c>
      <c r="T59" s="10" t="s">
        <v>69</v>
      </c>
      <c r="U59" s="10">
        <v>4</v>
      </c>
      <c r="V59" s="10" t="s">
        <v>28</v>
      </c>
      <c r="W59" s="10">
        <v>2</v>
      </c>
      <c r="X59" s="10" t="s">
        <v>276</v>
      </c>
      <c r="Y59" s="10" t="s">
        <v>155</v>
      </c>
      <c r="Z59" s="10" t="s">
        <v>133</v>
      </c>
      <c r="AA59" s="10" t="s">
        <v>12</v>
      </c>
      <c r="AB59" s="10" t="s">
        <v>12</v>
      </c>
      <c r="AC59" s="10" t="s">
        <v>12</v>
      </c>
      <c r="AD59" s="10" t="s">
        <v>254</v>
      </c>
      <c r="AE59" s="13">
        <v>0</v>
      </c>
      <c r="AF59" s="13">
        <v>0</v>
      </c>
      <c r="AG59" s="13">
        <v>0</v>
      </c>
      <c r="AH59" s="13">
        <v>0</v>
      </c>
      <c r="AI59" s="13">
        <v>0</v>
      </c>
      <c r="AJ59" s="13">
        <v>0</v>
      </c>
    </row>
    <row r="60" spans="1:36" ht="105" x14ac:dyDescent="0.2">
      <c r="A60" s="9" t="s">
        <v>35</v>
      </c>
      <c r="B60" s="12">
        <v>0</v>
      </c>
      <c r="C60" s="12">
        <v>0</v>
      </c>
      <c r="D60" s="9">
        <v>2</v>
      </c>
      <c r="E60" s="9">
        <v>4</v>
      </c>
      <c r="F60" s="9">
        <v>3</v>
      </c>
      <c r="G60" s="9" t="s">
        <v>13</v>
      </c>
      <c r="H60" s="9" t="s">
        <v>11</v>
      </c>
      <c r="I60" s="12">
        <v>0</v>
      </c>
      <c r="J60" s="9">
        <v>3</v>
      </c>
      <c r="K60" s="9" t="s">
        <v>81</v>
      </c>
      <c r="L60" s="9" t="s">
        <v>23</v>
      </c>
      <c r="M60" s="9" t="s">
        <v>13</v>
      </c>
      <c r="N60" s="12">
        <v>0</v>
      </c>
      <c r="O60" s="9" t="s">
        <v>66</v>
      </c>
      <c r="P60" s="9" t="s">
        <v>69</v>
      </c>
      <c r="Q60" s="9" t="s">
        <v>64</v>
      </c>
      <c r="R60" s="9" t="s">
        <v>68</v>
      </c>
      <c r="S60" s="9" t="s">
        <v>65</v>
      </c>
      <c r="T60" s="9" t="s">
        <v>67</v>
      </c>
      <c r="U60" s="9">
        <v>4</v>
      </c>
      <c r="V60" s="9" t="s">
        <v>26</v>
      </c>
      <c r="W60" s="9">
        <v>3</v>
      </c>
      <c r="X60" s="9" t="s">
        <v>220</v>
      </c>
      <c r="Y60" s="9" t="s">
        <v>248</v>
      </c>
      <c r="Z60" s="9" t="s">
        <v>294</v>
      </c>
      <c r="AA60" s="9" t="s">
        <v>13</v>
      </c>
      <c r="AB60" s="9" t="s">
        <v>12</v>
      </c>
      <c r="AC60" s="9" t="s">
        <v>12</v>
      </c>
      <c r="AD60" s="9" t="s">
        <v>113</v>
      </c>
      <c r="AE60" s="12">
        <v>0</v>
      </c>
      <c r="AF60" s="12">
        <v>0</v>
      </c>
      <c r="AG60" s="12">
        <v>0</v>
      </c>
      <c r="AH60" s="12">
        <v>0</v>
      </c>
      <c r="AI60" s="12">
        <v>0</v>
      </c>
      <c r="AJ60" s="12">
        <v>0</v>
      </c>
    </row>
    <row r="61" spans="1:36" ht="53" x14ac:dyDescent="0.2">
      <c r="A61" s="10" t="s">
        <v>36</v>
      </c>
      <c r="B61" s="10" t="s">
        <v>5</v>
      </c>
      <c r="C61" s="10" t="s">
        <v>7</v>
      </c>
      <c r="D61" s="10">
        <v>3</v>
      </c>
      <c r="E61" s="10">
        <v>5</v>
      </c>
      <c r="F61" s="10">
        <v>5</v>
      </c>
      <c r="G61" s="10" t="s">
        <v>12</v>
      </c>
      <c r="H61" s="10" t="s">
        <v>17</v>
      </c>
      <c r="I61" s="10" t="s">
        <v>295</v>
      </c>
      <c r="J61" s="10">
        <v>4</v>
      </c>
      <c r="K61" s="10" t="s">
        <v>88</v>
      </c>
      <c r="L61" s="10" t="s">
        <v>20</v>
      </c>
      <c r="M61" s="10" t="s">
        <v>11</v>
      </c>
      <c r="N61" s="13">
        <v>0</v>
      </c>
      <c r="O61" s="10" t="s">
        <v>65</v>
      </c>
      <c r="P61" s="10" t="s">
        <v>68</v>
      </c>
      <c r="Q61" s="10" t="s">
        <v>64</v>
      </c>
      <c r="R61" s="10" t="s">
        <v>66</v>
      </c>
      <c r="S61" s="10" t="s">
        <v>68</v>
      </c>
      <c r="T61" s="10" t="s">
        <v>67</v>
      </c>
      <c r="U61" s="10">
        <v>5</v>
      </c>
      <c r="V61" s="10" t="s">
        <v>26</v>
      </c>
      <c r="W61" s="10">
        <v>2</v>
      </c>
      <c r="X61" s="10" t="s">
        <v>220</v>
      </c>
      <c r="Y61" s="10" t="s">
        <v>187</v>
      </c>
      <c r="Z61" s="10" t="s">
        <v>85</v>
      </c>
      <c r="AA61" s="10" t="s">
        <v>11</v>
      </c>
      <c r="AB61" s="10" t="s">
        <v>12</v>
      </c>
      <c r="AC61" s="10" t="s">
        <v>12</v>
      </c>
      <c r="AD61" s="10" t="s">
        <v>296</v>
      </c>
      <c r="AE61" s="10" t="s">
        <v>297</v>
      </c>
      <c r="AF61" s="10" t="s">
        <v>298</v>
      </c>
      <c r="AG61" s="10" t="s">
        <v>299</v>
      </c>
      <c r="AH61" s="10" t="s">
        <v>300</v>
      </c>
      <c r="AI61" s="10">
        <v>0</v>
      </c>
      <c r="AJ61" s="10">
        <v>0</v>
      </c>
    </row>
    <row r="62" spans="1:36" ht="79" x14ac:dyDescent="0.2">
      <c r="A62" s="9" t="s">
        <v>35</v>
      </c>
      <c r="B62" s="12">
        <v>0</v>
      </c>
      <c r="C62" s="12">
        <v>0</v>
      </c>
      <c r="D62" s="9">
        <v>3</v>
      </c>
      <c r="E62" s="9">
        <v>4</v>
      </c>
      <c r="F62" s="9">
        <v>2</v>
      </c>
      <c r="G62" s="9" t="s">
        <v>11</v>
      </c>
      <c r="H62" s="9" t="s">
        <v>15</v>
      </c>
      <c r="I62" s="9" t="s">
        <v>99</v>
      </c>
      <c r="J62" s="9">
        <v>4</v>
      </c>
      <c r="K62" s="9" t="s">
        <v>81</v>
      </c>
      <c r="L62" s="9" t="s">
        <v>20</v>
      </c>
      <c r="M62" s="9" t="s">
        <v>13</v>
      </c>
      <c r="N62" s="12">
        <v>0</v>
      </c>
      <c r="O62" s="9" t="s">
        <v>66</v>
      </c>
      <c r="P62" s="9" t="s">
        <v>68</v>
      </c>
      <c r="Q62" s="9" t="s">
        <v>65</v>
      </c>
      <c r="R62" s="9" t="s">
        <v>69</v>
      </c>
      <c r="S62" s="9" t="s">
        <v>64</v>
      </c>
      <c r="T62" s="9" t="s">
        <v>67</v>
      </c>
      <c r="U62" s="9">
        <v>4</v>
      </c>
      <c r="V62" s="9" t="s">
        <v>28</v>
      </c>
      <c r="W62" s="9">
        <v>2</v>
      </c>
      <c r="X62" s="9" t="s">
        <v>301</v>
      </c>
      <c r="Y62" s="9" t="s">
        <v>302</v>
      </c>
      <c r="Z62" s="9" t="s">
        <v>303</v>
      </c>
      <c r="AA62" s="9" t="s">
        <v>13</v>
      </c>
      <c r="AB62" s="9" t="s">
        <v>12</v>
      </c>
      <c r="AC62" s="9" t="s">
        <v>12</v>
      </c>
      <c r="AD62" s="9" t="s">
        <v>73</v>
      </c>
      <c r="AE62" s="12">
        <v>0</v>
      </c>
      <c r="AF62" s="12">
        <v>0</v>
      </c>
      <c r="AG62" s="12">
        <v>0</v>
      </c>
      <c r="AH62" s="12">
        <v>0</v>
      </c>
      <c r="AI62" s="12">
        <v>0</v>
      </c>
      <c r="AJ62" s="12">
        <v>0</v>
      </c>
    </row>
    <row r="63" spans="1:36" ht="105" x14ac:dyDescent="0.2">
      <c r="A63" s="10" t="s">
        <v>35</v>
      </c>
      <c r="B63" s="13">
        <v>0</v>
      </c>
      <c r="C63" s="13">
        <v>0</v>
      </c>
      <c r="D63" s="10">
        <v>4</v>
      </c>
      <c r="E63" s="10">
        <v>3</v>
      </c>
      <c r="F63" s="10">
        <v>3</v>
      </c>
      <c r="G63" s="10" t="s">
        <v>13</v>
      </c>
      <c r="H63" s="10" t="s">
        <v>15</v>
      </c>
      <c r="I63" s="10" t="s">
        <v>99</v>
      </c>
      <c r="J63" s="10">
        <v>3</v>
      </c>
      <c r="K63" s="10" t="s">
        <v>304</v>
      </c>
      <c r="L63" s="10" t="s">
        <v>21</v>
      </c>
      <c r="M63" s="10" t="s">
        <v>12</v>
      </c>
      <c r="N63" s="10" t="s">
        <v>143</v>
      </c>
      <c r="O63" s="10" t="s">
        <v>68</v>
      </c>
      <c r="P63" s="10" t="s">
        <v>65</v>
      </c>
      <c r="Q63" s="10" t="s">
        <v>64</v>
      </c>
      <c r="R63" s="10" t="s">
        <v>69</v>
      </c>
      <c r="S63" s="10" t="s">
        <v>66</v>
      </c>
      <c r="T63" s="10" t="s">
        <v>67</v>
      </c>
      <c r="U63" s="10">
        <v>4</v>
      </c>
      <c r="V63" s="10" t="s">
        <v>27</v>
      </c>
      <c r="W63" s="10">
        <v>3</v>
      </c>
      <c r="X63" s="10" t="s">
        <v>241</v>
      </c>
      <c r="Y63" s="10" t="s">
        <v>305</v>
      </c>
      <c r="Z63" s="10" t="s">
        <v>306</v>
      </c>
      <c r="AA63" s="10" t="s">
        <v>12</v>
      </c>
      <c r="AB63" s="10" t="s">
        <v>12</v>
      </c>
      <c r="AC63" s="10" t="s">
        <v>12</v>
      </c>
      <c r="AD63" s="10" t="s">
        <v>108</v>
      </c>
      <c r="AE63" s="13">
        <v>0</v>
      </c>
      <c r="AF63" s="13">
        <v>0</v>
      </c>
      <c r="AG63" s="13">
        <v>0</v>
      </c>
      <c r="AH63" s="13">
        <v>0</v>
      </c>
      <c r="AI63" s="13">
        <v>0</v>
      </c>
      <c r="AJ63" s="13">
        <v>0</v>
      </c>
    </row>
    <row r="64" spans="1:36" ht="131" x14ac:dyDescent="0.2">
      <c r="A64" s="9" t="s">
        <v>35</v>
      </c>
      <c r="B64" s="12">
        <v>0</v>
      </c>
      <c r="C64" s="12">
        <v>0</v>
      </c>
      <c r="D64" s="9">
        <v>2</v>
      </c>
      <c r="E64" s="9">
        <v>3</v>
      </c>
      <c r="F64" s="9">
        <v>1</v>
      </c>
      <c r="G64" s="9" t="s">
        <v>11</v>
      </c>
      <c r="H64" s="9" t="s">
        <v>11</v>
      </c>
      <c r="I64" s="12">
        <v>0</v>
      </c>
      <c r="J64" s="9">
        <v>2</v>
      </c>
      <c r="K64" s="9" t="s">
        <v>81</v>
      </c>
      <c r="L64" s="9" t="s">
        <v>20</v>
      </c>
      <c r="M64" s="9" t="s">
        <v>11</v>
      </c>
      <c r="N64" s="12">
        <v>0</v>
      </c>
      <c r="O64" s="9" t="s">
        <v>67</v>
      </c>
      <c r="P64" s="9" t="s">
        <v>66</v>
      </c>
      <c r="Q64" s="9" t="s">
        <v>64</v>
      </c>
      <c r="R64" s="9" t="s">
        <v>69</v>
      </c>
      <c r="S64" s="9" t="s">
        <v>68</v>
      </c>
      <c r="T64" s="9" t="s">
        <v>66</v>
      </c>
      <c r="U64" s="9">
        <v>3</v>
      </c>
      <c r="V64" s="9" t="s">
        <v>27</v>
      </c>
      <c r="W64" s="9">
        <v>2</v>
      </c>
      <c r="X64" s="9" t="s">
        <v>241</v>
      </c>
      <c r="Y64" s="9" t="s">
        <v>279</v>
      </c>
      <c r="Z64" s="9" t="s">
        <v>307</v>
      </c>
      <c r="AA64" s="9" t="s">
        <v>11</v>
      </c>
      <c r="AB64" s="9" t="s">
        <v>12</v>
      </c>
      <c r="AC64" s="9" t="s">
        <v>12</v>
      </c>
      <c r="AD64" s="9" t="s">
        <v>222</v>
      </c>
      <c r="AE64" s="12">
        <v>0</v>
      </c>
      <c r="AF64" s="12">
        <v>0</v>
      </c>
      <c r="AG64" s="12">
        <v>0</v>
      </c>
      <c r="AH64" s="12">
        <v>0</v>
      </c>
      <c r="AI64" s="12">
        <v>0</v>
      </c>
      <c r="AJ64" s="12">
        <v>0</v>
      </c>
    </row>
    <row r="65" spans="1:36" ht="79" x14ac:dyDescent="0.2">
      <c r="A65" s="10" t="s">
        <v>35</v>
      </c>
      <c r="B65" s="13">
        <v>0</v>
      </c>
      <c r="C65" s="13">
        <v>0</v>
      </c>
      <c r="D65" s="10">
        <v>2</v>
      </c>
      <c r="E65" s="10">
        <v>4</v>
      </c>
      <c r="F65" s="10">
        <v>2</v>
      </c>
      <c r="G65" s="10" t="s">
        <v>11</v>
      </c>
      <c r="H65" s="10" t="s">
        <v>15</v>
      </c>
      <c r="I65" s="10" t="s">
        <v>87</v>
      </c>
      <c r="J65" s="10">
        <v>2</v>
      </c>
      <c r="K65" s="10" t="s">
        <v>103</v>
      </c>
      <c r="L65" s="10" t="s">
        <v>20</v>
      </c>
      <c r="M65" s="10" t="s">
        <v>12</v>
      </c>
      <c r="N65" s="10" t="s">
        <v>120</v>
      </c>
      <c r="O65" s="10" t="s">
        <v>65</v>
      </c>
      <c r="P65" s="10" t="s">
        <v>68</v>
      </c>
      <c r="Q65" s="10" t="s">
        <v>66</v>
      </c>
      <c r="R65" s="10" t="s">
        <v>64</v>
      </c>
      <c r="S65" s="10" t="s">
        <v>67</v>
      </c>
      <c r="T65" s="10" t="s">
        <v>69</v>
      </c>
      <c r="U65" s="10">
        <v>3</v>
      </c>
      <c r="V65" s="10" t="s">
        <v>26</v>
      </c>
      <c r="W65" s="10">
        <v>1</v>
      </c>
      <c r="X65" s="10" t="s">
        <v>127</v>
      </c>
      <c r="Y65" s="10" t="s">
        <v>106</v>
      </c>
      <c r="Z65" s="10" t="s">
        <v>308</v>
      </c>
      <c r="AA65" s="10" t="s">
        <v>12</v>
      </c>
      <c r="AB65" s="10" t="s">
        <v>12</v>
      </c>
      <c r="AC65" s="10" t="s">
        <v>12</v>
      </c>
      <c r="AD65" s="10" t="s">
        <v>309</v>
      </c>
      <c r="AE65" s="13">
        <v>0</v>
      </c>
      <c r="AF65" s="13">
        <v>0</v>
      </c>
      <c r="AG65" s="13">
        <v>0</v>
      </c>
      <c r="AH65" s="13">
        <v>0</v>
      </c>
      <c r="AI65" s="13">
        <v>0</v>
      </c>
      <c r="AJ65" s="13">
        <v>0</v>
      </c>
    </row>
    <row r="66" spans="1:36" ht="157" x14ac:dyDescent="0.2">
      <c r="A66" s="9" t="s">
        <v>35</v>
      </c>
      <c r="B66" s="12">
        <v>0</v>
      </c>
      <c r="C66" s="12">
        <v>0</v>
      </c>
      <c r="D66" s="9">
        <v>2</v>
      </c>
      <c r="E66" s="9">
        <v>4</v>
      </c>
      <c r="F66" s="9">
        <v>2</v>
      </c>
      <c r="G66" s="9" t="s">
        <v>11</v>
      </c>
      <c r="H66" s="9" t="s">
        <v>15</v>
      </c>
      <c r="I66" s="9" t="s">
        <v>94</v>
      </c>
      <c r="J66" s="9">
        <v>3</v>
      </c>
      <c r="K66" s="9" t="s">
        <v>103</v>
      </c>
      <c r="L66" s="9" t="s">
        <v>20</v>
      </c>
      <c r="M66" s="9" t="s">
        <v>11</v>
      </c>
      <c r="N66" s="12">
        <v>0</v>
      </c>
      <c r="O66" s="9" t="s">
        <v>69</v>
      </c>
      <c r="P66" s="9" t="s">
        <v>64</v>
      </c>
      <c r="Q66" s="9" t="s">
        <v>68</v>
      </c>
      <c r="R66" s="9" t="s">
        <v>66</v>
      </c>
      <c r="S66" s="9" t="s">
        <v>67</v>
      </c>
      <c r="T66" s="9" t="s">
        <v>65</v>
      </c>
      <c r="U66" s="9">
        <v>4</v>
      </c>
      <c r="V66" s="9" t="s">
        <v>27</v>
      </c>
      <c r="W66" s="9">
        <v>1</v>
      </c>
      <c r="X66" s="9" t="s">
        <v>310</v>
      </c>
      <c r="Y66" s="9" t="s">
        <v>270</v>
      </c>
      <c r="Z66" s="9" t="s">
        <v>123</v>
      </c>
      <c r="AA66" s="9" t="s">
        <v>12</v>
      </c>
      <c r="AB66" s="9" t="s">
        <v>12</v>
      </c>
      <c r="AC66" s="9" t="s">
        <v>12</v>
      </c>
      <c r="AD66" s="9" t="s">
        <v>254</v>
      </c>
      <c r="AE66" s="12">
        <v>0</v>
      </c>
      <c r="AF66" s="12">
        <v>0</v>
      </c>
      <c r="AG66" s="12">
        <v>0</v>
      </c>
      <c r="AH66" s="12">
        <v>0</v>
      </c>
      <c r="AI66" s="12">
        <v>0</v>
      </c>
      <c r="AJ66" s="12">
        <v>0</v>
      </c>
    </row>
    <row r="67" spans="1:36" ht="66" x14ac:dyDescent="0.2">
      <c r="A67" s="10" t="s">
        <v>36</v>
      </c>
      <c r="B67" s="10" t="s">
        <v>5</v>
      </c>
      <c r="C67" s="10" t="s">
        <v>7</v>
      </c>
      <c r="D67" s="10">
        <v>1</v>
      </c>
      <c r="E67" s="10">
        <v>2</v>
      </c>
      <c r="F67" s="10">
        <v>1</v>
      </c>
      <c r="G67" s="10" t="s">
        <v>11</v>
      </c>
      <c r="H67" s="10" t="s">
        <v>11</v>
      </c>
      <c r="I67" s="13">
        <v>0</v>
      </c>
      <c r="J67" s="10">
        <v>3</v>
      </c>
      <c r="K67" s="10" t="s">
        <v>81</v>
      </c>
      <c r="L67" s="10" t="s">
        <v>20</v>
      </c>
      <c r="M67" s="10" t="s">
        <v>13</v>
      </c>
      <c r="N67" s="13">
        <v>0</v>
      </c>
      <c r="O67" s="10" t="s">
        <v>66</v>
      </c>
      <c r="P67" s="10" t="s">
        <v>68</v>
      </c>
      <c r="Q67" s="10" t="s">
        <v>311</v>
      </c>
      <c r="R67" s="10" t="s">
        <v>64</v>
      </c>
      <c r="S67" s="10" t="s">
        <v>67</v>
      </c>
      <c r="T67" s="10" t="s">
        <v>69</v>
      </c>
      <c r="U67" s="10">
        <v>2</v>
      </c>
      <c r="V67" s="10" t="s">
        <v>26</v>
      </c>
      <c r="W67" s="10">
        <v>1</v>
      </c>
      <c r="X67" s="10" t="s">
        <v>312</v>
      </c>
      <c r="Y67" s="10" t="s">
        <v>164</v>
      </c>
      <c r="Z67" s="10" t="s">
        <v>313</v>
      </c>
      <c r="AA67" s="10" t="s">
        <v>11</v>
      </c>
      <c r="AB67" s="10" t="s">
        <v>12</v>
      </c>
      <c r="AC67" s="10" t="s">
        <v>12</v>
      </c>
      <c r="AD67" s="10" t="s">
        <v>157</v>
      </c>
      <c r="AE67" s="13">
        <v>0</v>
      </c>
      <c r="AF67" s="13">
        <v>0</v>
      </c>
      <c r="AG67" s="13">
        <v>0</v>
      </c>
      <c r="AH67" s="13">
        <v>0</v>
      </c>
      <c r="AI67" s="13">
        <v>0</v>
      </c>
      <c r="AJ67" s="13">
        <v>0</v>
      </c>
    </row>
    <row r="68" spans="1:36" ht="131" x14ac:dyDescent="0.2">
      <c r="A68" s="9" t="s">
        <v>35</v>
      </c>
      <c r="B68" s="12">
        <v>0</v>
      </c>
      <c r="C68" s="12">
        <v>0</v>
      </c>
      <c r="D68" s="9">
        <v>3</v>
      </c>
      <c r="E68" s="9">
        <v>4</v>
      </c>
      <c r="F68" s="9">
        <v>3</v>
      </c>
      <c r="G68" s="9" t="s">
        <v>13</v>
      </c>
      <c r="H68" s="9" t="s">
        <v>16</v>
      </c>
      <c r="I68" s="9" t="s">
        <v>221</v>
      </c>
      <c r="J68" s="9">
        <v>3</v>
      </c>
      <c r="K68" s="9" t="s">
        <v>81</v>
      </c>
      <c r="L68" s="9" t="s">
        <v>20</v>
      </c>
      <c r="M68" s="9" t="s">
        <v>12</v>
      </c>
      <c r="N68" s="9" t="s">
        <v>192</v>
      </c>
      <c r="O68" s="9" t="s">
        <v>64</v>
      </c>
      <c r="P68" s="9" t="s">
        <v>65</v>
      </c>
      <c r="Q68" s="9" t="s">
        <v>68</v>
      </c>
      <c r="R68" s="9" t="s">
        <v>66</v>
      </c>
      <c r="S68" s="9" t="s">
        <v>67</v>
      </c>
      <c r="T68" s="9" t="s">
        <v>69</v>
      </c>
      <c r="U68" s="9">
        <v>4</v>
      </c>
      <c r="V68" s="9" t="s">
        <v>26</v>
      </c>
      <c r="W68" s="9">
        <v>2</v>
      </c>
      <c r="X68" s="9" t="s">
        <v>95</v>
      </c>
      <c r="Y68" s="9" t="s">
        <v>155</v>
      </c>
      <c r="Z68" s="9" t="s">
        <v>133</v>
      </c>
      <c r="AA68" s="9" t="s">
        <v>12</v>
      </c>
      <c r="AB68" s="9" t="s">
        <v>12</v>
      </c>
      <c r="AC68" s="9" t="s">
        <v>12</v>
      </c>
      <c r="AD68" s="9" t="s">
        <v>254</v>
      </c>
      <c r="AE68" s="12">
        <v>0</v>
      </c>
      <c r="AF68" s="12">
        <v>0</v>
      </c>
      <c r="AG68" s="12">
        <v>0</v>
      </c>
      <c r="AH68" s="12">
        <v>0</v>
      </c>
      <c r="AI68" s="12">
        <v>0</v>
      </c>
      <c r="AJ68" s="12">
        <v>0</v>
      </c>
    </row>
    <row r="69" spans="1:36" ht="105" x14ac:dyDescent="0.2">
      <c r="A69" s="10" t="s">
        <v>35</v>
      </c>
      <c r="B69" s="13">
        <v>0</v>
      </c>
      <c r="C69" s="13">
        <v>0</v>
      </c>
      <c r="D69" s="10">
        <v>2</v>
      </c>
      <c r="E69" s="10">
        <v>4</v>
      </c>
      <c r="F69" s="10">
        <v>2</v>
      </c>
      <c r="G69" s="10" t="s">
        <v>11</v>
      </c>
      <c r="H69" s="10" t="s">
        <v>11</v>
      </c>
      <c r="I69" s="13">
        <v>0</v>
      </c>
      <c r="J69" s="10">
        <v>3</v>
      </c>
      <c r="K69" s="10" t="s">
        <v>81</v>
      </c>
      <c r="L69" s="10" t="s">
        <v>20</v>
      </c>
      <c r="M69" s="10" t="s">
        <v>13</v>
      </c>
      <c r="N69" s="10" t="s">
        <v>109</v>
      </c>
      <c r="O69" s="10" t="s">
        <v>66</v>
      </c>
      <c r="P69" s="10" t="s">
        <v>64</v>
      </c>
      <c r="Q69" s="10" t="s">
        <v>65</v>
      </c>
      <c r="R69" s="10" t="s">
        <v>68</v>
      </c>
      <c r="S69" s="10" t="s">
        <v>69</v>
      </c>
      <c r="T69" s="10" t="s">
        <v>67</v>
      </c>
      <c r="U69" s="10">
        <v>5</v>
      </c>
      <c r="V69" s="10" t="s">
        <v>26</v>
      </c>
      <c r="W69" s="10">
        <v>2</v>
      </c>
      <c r="X69" s="10" t="s">
        <v>136</v>
      </c>
      <c r="Y69" s="10" t="s">
        <v>279</v>
      </c>
      <c r="Z69" s="10" t="s">
        <v>72</v>
      </c>
      <c r="AA69" s="10" t="s">
        <v>11</v>
      </c>
      <c r="AB69" s="10" t="s">
        <v>12</v>
      </c>
      <c r="AC69" s="10" t="s">
        <v>12</v>
      </c>
      <c r="AD69" s="10" t="s">
        <v>157</v>
      </c>
      <c r="AE69" s="13">
        <v>0</v>
      </c>
      <c r="AF69" s="13">
        <v>0</v>
      </c>
      <c r="AG69" s="13">
        <v>0</v>
      </c>
      <c r="AH69" s="13">
        <v>0</v>
      </c>
      <c r="AI69" s="13">
        <v>0</v>
      </c>
      <c r="AJ69" s="13">
        <v>0</v>
      </c>
    </row>
    <row r="70" spans="1:36" ht="105" x14ac:dyDescent="0.2">
      <c r="A70" s="9" t="s">
        <v>35</v>
      </c>
      <c r="B70" s="12">
        <v>0</v>
      </c>
      <c r="C70" s="12">
        <v>0</v>
      </c>
      <c r="D70" s="9">
        <v>3</v>
      </c>
      <c r="E70" s="9">
        <v>4</v>
      </c>
      <c r="F70" s="9">
        <v>4</v>
      </c>
      <c r="G70" s="9" t="s">
        <v>11</v>
      </c>
      <c r="H70" s="9" t="s">
        <v>15</v>
      </c>
      <c r="I70" s="9" t="s">
        <v>94</v>
      </c>
      <c r="J70" s="9">
        <v>2</v>
      </c>
      <c r="K70" s="9" t="s">
        <v>81</v>
      </c>
      <c r="L70" s="9" t="s">
        <v>20</v>
      </c>
      <c r="M70" s="9" t="s">
        <v>12</v>
      </c>
      <c r="N70" s="9" t="s">
        <v>126</v>
      </c>
      <c r="O70" s="9" t="s">
        <v>66</v>
      </c>
      <c r="P70" s="9" t="s">
        <v>64</v>
      </c>
      <c r="Q70" s="9" t="s">
        <v>65</v>
      </c>
      <c r="R70" s="9" t="s">
        <v>68</v>
      </c>
      <c r="S70" s="9" t="s">
        <v>65</v>
      </c>
      <c r="T70" s="9" t="s">
        <v>69</v>
      </c>
      <c r="U70" s="9">
        <v>5</v>
      </c>
      <c r="V70" s="9" t="s">
        <v>26</v>
      </c>
      <c r="W70" s="9">
        <v>1</v>
      </c>
      <c r="X70" s="9" t="s">
        <v>95</v>
      </c>
      <c r="Y70" s="9" t="s">
        <v>248</v>
      </c>
      <c r="Z70" s="9" t="s">
        <v>314</v>
      </c>
      <c r="AA70" s="9" t="s">
        <v>13</v>
      </c>
      <c r="AB70" s="9" t="s">
        <v>12</v>
      </c>
      <c r="AC70" s="9" t="s">
        <v>12</v>
      </c>
      <c r="AD70" s="9" t="s">
        <v>315</v>
      </c>
      <c r="AE70" s="9" t="s">
        <v>316</v>
      </c>
      <c r="AF70" s="9" t="s">
        <v>317</v>
      </c>
      <c r="AG70" s="12">
        <v>0</v>
      </c>
      <c r="AH70" s="9">
        <v>0</v>
      </c>
      <c r="AI70" s="9" t="s">
        <v>318</v>
      </c>
      <c r="AJ70" s="9" t="s">
        <v>319</v>
      </c>
    </row>
    <row r="71" spans="1:36" ht="105" x14ac:dyDescent="0.2">
      <c r="A71" s="10" t="s">
        <v>35</v>
      </c>
      <c r="B71" s="13">
        <v>0</v>
      </c>
      <c r="C71" s="13">
        <v>0</v>
      </c>
      <c r="D71" s="10">
        <v>2</v>
      </c>
      <c r="E71" s="10">
        <v>4</v>
      </c>
      <c r="F71" s="10">
        <v>1</v>
      </c>
      <c r="G71" s="10" t="s">
        <v>11</v>
      </c>
      <c r="H71" s="10" t="s">
        <v>15</v>
      </c>
      <c r="I71" s="10" t="s">
        <v>94</v>
      </c>
      <c r="J71" s="10">
        <v>1</v>
      </c>
      <c r="K71" s="10" t="s">
        <v>103</v>
      </c>
      <c r="L71" s="10">
        <v>0</v>
      </c>
      <c r="M71" s="10" t="s">
        <v>13</v>
      </c>
      <c r="N71" s="13">
        <v>0</v>
      </c>
      <c r="O71" s="10" t="s">
        <v>64</v>
      </c>
      <c r="P71" s="10" t="s">
        <v>65</v>
      </c>
      <c r="Q71" s="10" t="s">
        <v>66</v>
      </c>
      <c r="R71" s="10" t="s">
        <v>67</v>
      </c>
      <c r="S71" s="10" t="s">
        <v>69</v>
      </c>
      <c r="T71" s="10" t="s">
        <v>68</v>
      </c>
      <c r="U71" s="10">
        <v>4</v>
      </c>
      <c r="V71" s="10" t="s">
        <v>26</v>
      </c>
      <c r="W71" s="10">
        <v>1</v>
      </c>
      <c r="X71" s="10" t="s">
        <v>154</v>
      </c>
      <c r="Y71" s="10" t="s">
        <v>111</v>
      </c>
      <c r="Z71" s="10" t="s">
        <v>320</v>
      </c>
      <c r="AA71" s="10" t="s">
        <v>12</v>
      </c>
      <c r="AB71" s="10" t="s">
        <v>12</v>
      </c>
      <c r="AC71" s="10" t="s">
        <v>12</v>
      </c>
      <c r="AD71" s="10" t="s">
        <v>239</v>
      </c>
      <c r="AE71" s="13">
        <v>0</v>
      </c>
      <c r="AF71" s="13">
        <v>0</v>
      </c>
      <c r="AG71" s="13">
        <v>0</v>
      </c>
      <c r="AH71" s="13">
        <v>0</v>
      </c>
      <c r="AI71" s="13">
        <v>0</v>
      </c>
      <c r="AJ71" s="13">
        <v>0</v>
      </c>
    </row>
    <row r="72" spans="1:36" ht="92" x14ac:dyDescent="0.2">
      <c r="A72" s="9" t="s">
        <v>35</v>
      </c>
      <c r="B72" s="12">
        <v>0</v>
      </c>
      <c r="C72" s="12">
        <v>0</v>
      </c>
      <c r="D72" s="9">
        <v>3</v>
      </c>
      <c r="E72" s="9">
        <v>3</v>
      </c>
      <c r="F72" s="9">
        <v>2</v>
      </c>
      <c r="G72" s="9" t="s">
        <v>13</v>
      </c>
      <c r="H72" s="9" t="s">
        <v>16</v>
      </c>
      <c r="I72" s="9" t="s">
        <v>94</v>
      </c>
      <c r="J72" s="9">
        <v>1</v>
      </c>
      <c r="K72" s="9" t="s">
        <v>103</v>
      </c>
      <c r="L72" s="9" t="s">
        <v>21</v>
      </c>
      <c r="M72" s="9" t="s">
        <v>12</v>
      </c>
      <c r="N72" s="9" t="s">
        <v>177</v>
      </c>
      <c r="O72" s="9" t="s">
        <v>67</v>
      </c>
      <c r="P72" s="9" t="s">
        <v>65</v>
      </c>
      <c r="Q72" s="9" t="s">
        <v>68</v>
      </c>
      <c r="R72" s="9" t="s">
        <v>64</v>
      </c>
      <c r="S72" s="9" t="s">
        <v>66</v>
      </c>
      <c r="T72" s="9" t="s">
        <v>69</v>
      </c>
      <c r="U72" s="9">
        <v>4</v>
      </c>
      <c r="V72" s="9" t="s">
        <v>26</v>
      </c>
      <c r="W72" s="9">
        <v>1</v>
      </c>
      <c r="X72" s="9" t="s">
        <v>127</v>
      </c>
      <c r="Y72" s="9" t="s">
        <v>84</v>
      </c>
      <c r="Z72" s="9" t="s">
        <v>107</v>
      </c>
      <c r="AA72" s="9" t="s">
        <v>12</v>
      </c>
      <c r="AB72" s="9" t="s">
        <v>12</v>
      </c>
      <c r="AC72" s="9" t="s">
        <v>12</v>
      </c>
      <c r="AD72" s="9" t="s">
        <v>309</v>
      </c>
      <c r="AE72" s="12">
        <v>9</v>
      </c>
      <c r="AF72" s="12">
        <v>0</v>
      </c>
      <c r="AG72" s="12">
        <v>0</v>
      </c>
      <c r="AH72" s="12">
        <v>0</v>
      </c>
      <c r="AI72" s="12">
        <v>0</v>
      </c>
      <c r="AJ72" s="12">
        <v>0</v>
      </c>
    </row>
    <row r="73" spans="1:36" ht="157" x14ac:dyDescent="0.2">
      <c r="A73" s="10" t="s">
        <v>36</v>
      </c>
      <c r="B73" s="10" t="s">
        <v>4</v>
      </c>
      <c r="C73" s="10" t="s">
        <v>8</v>
      </c>
      <c r="D73" s="10">
        <v>1</v>
      </c>
      <c r="E73" s="10">
        <v>5</v>
      </c>
      <c r="F73" s="10">
        <v>3</v>
      </c>
      <c r="G73" s="10" t="s">
        <v>12</v>
      </c>
      <c r="H73" s="10" t="s">
        <v>17</v>
      </c>
      <c r="I73" s="10" t="s">
        <v>212</v>
      </c>
      <c r="J73" s="10">
        <v>2</v>
      </c>
      <c r="K73" s="10" t="s">
        <v>103</v>
      </c>
      <c r="L73" s="10" t="s">
        <v>20</v>
      </c>
      <c r="M73" s="10" t="s">
        <v>13</v>
      </c>
      <c r="N73" s="13">
        <v>0</v>
      </c>
      <c r="O73" s="10" t="s">
        <v>65</v>
      </c>
      <c r="P73" s="10" t="s">
        <v>66</v>
      </c>
      <c r="Q73" s="10" t="s">
        <v>64</v>
      </c>
      <c r="R73" s="10" t="s">
        <v>68</v>
      </c>
      <c r="S73" s="10" t="s">
        <v>69</v>
      </c>
      <c r="T73" s="10" t="s">
        <v>67</v>
      </c>
      <c r="U73" s="10">
        <v>5</v>
      </c>
      <c r="V73" s="10" t="s">
        <v>26</v>
      </c>
      <c r="W73" s="10">
        <v>2</v>
      </c>
      <c r="X73" s="10" t="s">
        <v>321</v>
      </c>
      <c r="Y73" s="10" t="s">
        <v>92</v>
      </c>
      <c r="Z73" s="10" t="s">
        <v>322</v>
      </c>
      <c r="AA73" s="10" t="s">
        <v>13</v>
      </c>
      <c r="AB73" s="10" t="s">
        <v>12</v>
      </c>
      <c r="AC73" s="10" t="s">
        <v>12</v>
      </c>
      <c r="AD73" s="10" t="s">
        <v>323</v>
      </c>
      <c r="AE73" s="10" t="s">
        <v>324</v>
      </c>
      <c r="AF73" s="13" t="s">
        <v>325</v>
      </c>
      <c r="AG73" s="13">
        <v>0</v>
      </c>
      <c r="AH73" s="13">
        <v>0</v>
      </c>
      <c r="AI73" s="13">
        <v>0</v>
      </c>
      <c r="AJ73" s="13">
        <v>0</v>
      </c>
    </row>
    <row r="74" spans="1:36" ht="66" x14ac:dyDescent="0.2">
      <c r="A74" s="9" t="s">
        <v>36</v>
      </c>
      <c r="B74" s="9" t="s">
        <v>5</v>
      </c>
      <c r="C74" s="9" t="s">
        <v>7</v>
      </c>
      <c r="D74" s="9">
        <v>3</v>
      </c>
      <c r="E74" s="9">
        <v>4</v>
      </c>
      <c r="F74" s="9">
        <v>3</v>
      </c>
      <c r="G74" s="9" t="s">
        <v>11</v>
      </c>
      <c r="H74" s="9" t="s">
        <v>16</v>
      </c>
      <c r="I74" s="9" t="s">
        <v>94</v>
      </c>
      <c r="J74" s="9">
        <v>4</v>
      </c>
      <c r="K74" s="9" t="s">
        <v>81</v>
      </c>
      <c r="L74" s="9" t="s">
        <v>21</v>
      </c>
      <c r="M74" s="9" t="s">
        <v>11</v>
      </c>
      <c r="N74" s="12">
        <v>0</v>
      </c>
      <c r="O74" s="9" t="s">
        <v>66</v>
      </c>
      <c r="P74" s="9" t="s">
        <v>67</v>
      </c>
      <c r="Q74" s="9" t="s">
        <v>64</v>
      </c>
      <c r="R74" s="9" t="s">
        <v>65</v>
      </c>
      <c r="S74" s="9" t="s">
        <v>68</v>
      </c>
      <c r="T74" s="9" t="s">
        <v>69</v>
      </c>
      <c r="U74" s="9">
        <v>3</v>
      </c>
      <c r="V74" s="9">
        <v>0</v>
      </c>
      <c r="W74" s="9">
        <v>3</v>
      </c>
      <c r="X74" s="9" t="s">
        <v>190</v>
      </c>
      <c r="Y74" s="9" t="s">
        <v>128</v>
      </c>
      <c r="Z74" s="9" t="s">
        <v>326</v>
      </c>
      <c r="AA74" s="9" t="s">
        <v>13</v>
      </c>
      <c r="AB74" s="9" t="s">
        <v>13</v>
      </c>
      <c r="AC74" s="9" t="s">
        <v>13</v>
      </c>
      <c r="AD74" s="9" t="s">
        <v>263</v>
      </c>
      <c r="AE74" s="12">
        <v>0</v>
      </c>
      <c r="AF74" s="12">
        <v>0</v>
      </c>
      <c r="AG74" s="12">
        <v>0</v>
      </c>
      <c r="AH74" s="12">
        <v>0</v>
      </c>
      <c r="AI74" s="12">
        <v>0</v>
      </c>
      <c r="AJ74" s="12">
        <v>0</v>
      </c>
    </row>
    <row r="75" spans="1:36" ht="157" x14ac:dyDescent="0.2">
      <c r="A75" s="10" t="s">
        <v>36</v>
      </c>
      <c r="B75" s="10" t="s">
        <v>4</v>
      </c>
      <c r="C75" s="10" t="s">
        <v>8</v>
      </c>
      <c r="D75" s="10">
        <v>3</v>
      </c>
      <c r="E75" s="10">
        <v>5</v>
      </c>
      <c r="F75" s="10">
        <v>4</v>
      </c>
      <c r="G75" s="10" t="s">
        <v>12</v>
      </c>
      <c r="H75" s="10" t="s">
        <v>17</v>
      </c>
      <c r="I75" s="10" t="s">
        <v>240</v>
      </c>
      <c r="J75" s="10">
        <v>4</v>
      </c>
      <c r="K75" s="10" t="s">
        <v>81</v>
      </c>
      <c r="L75" s="10" t="s">
        <v>21</v>
      </c>
      <c r="M75" s="10" t="s">
        <v>11</v>
      </c>
      <c r="N75" s="13">
        <v>0</v>
      </c>
      <c r="O75" s="10" t="s">
        <v>65</v>
      </c>
      <c r="P75" s="10" t="s">
        <v>66</v>
      </c>
      <c r="Q75" s="10" t="s">
        <v>64</v>
      </c>
      <c r="R75" s="10" t="s">
        <v>68</v>
      </c>
      <c r="S75" s="10" t="s">
        <v>69</v>
      </c>
      <c r="T75" s="10" t="s">
        <v>67</v>
      </c>
      <c r="U75" s="10">
        <v>4</v>
      </c>
      <c r="V75" s="10" t="s">
        <v>26</v>
      </c>
      <c r="W75" s="10">
        <v>4</v>
      </c>
      <c r="X75" s="10" t="s">
        <v>200</v>
      </c>
      <c r="Y75" s="10" t="s">
        <v>137</v>
      </c>
      <c r="Z75" s="10" t="s">
        <v>322</v>
      </c>
      <c r="AA75" s="10" t="s">
        <v>13</v>
      </c>
      <c r="AB75" s="10" t="s">
        <v>12</v>
      </c>
      <c r="AC75" s="10" t="s">
        <v>12</v>
      </c>
      <c r="AD75" s="10" t="s">
        <v>327</v>
      </c>
      <c r="AE75" s="13">
        <v>0</v>
      </c>
      <c r="AF75" s="13">
        <v>0</v>
      </c>
      <c r="AG75" s="13">
        <v>0</v>
      </c>
      <c r="AH75" s="13">
        <v>0</v>
      </c>
      <c r="AI75" s="13">
        <v>0</v>
      </c>
      <c r="AJ75" s="13">
        <v>0</v>
      </c>
    </row>
    <row r="76" spans="1:36" ht="105" x14ac:dyDescent="0.2">
      <c r="A76" s="9" t="s">
        <v>35</v>
      </c>
      <c r="B76" s="12">
        <v>0</v>
      </c>
      <c r="C76" s="12">
        <v>0</v>
      </c>
      <c r="D76" s="9">
        <v>1</v>
      </c>
      <c r="E76" s="9">
        <v>3</v>
      </c>
      <c r="F76" s="9">
        <v>2</v>
      </c>
      <c r="G76" s="9" t="s">
        <v>11</v>
      </c>
      <c r="H76" s="9" t="s">
        <v>11</v>
      </c>
      <c r="I76" s="12">
        <v>0</v>
      </c>
      <c r="J76" s="9">
        <v>3</v>
      </c>
      <c r="K76" s="9" t="s">
        <v>62</v>
      </c>
      <c r="L76" s="9" t="s">
        <v>20</v>
      </c>
      <c r="M76" s="9" t="s">
        <v>12</v>
      </c>
      <c r="N76" s="9" t="s">
        <v>109</v>
      </c>
      <c r="O76" s="9" t="s">
        <v>64</v>
      </c>
      <c r="P76" s="9" t="s">
        <v>66</v>
      </c>
      <c r="Q76" s="9" t="s">
        <v>65</v>
      </c>
      <c r="R76" s="9" t="s">
        <v>68</v>
      </c>
      <c r="S76" s="9" t="s">
        <v>67</v>
      </c>
      <c r="T76" s="9" t="s">
        <v>69</v>
      </c>
      <c r="U76" s="9">
        <v>5</v>
      </c>
      <c r="V76" s="9" t="s">
        <v>28</v>
      </c>
      <c r="W76" s="9">
        <v>1</v>
      </c>
      <c r="X76" s="9" t="s">
        <v>95</v>
      </c>
      <c r="Y76" s="9" t="s">
        <v>132</v>
      </c>
      <c r="Z76" s="9" t="s">
        <v>328</v>
      </c>
      <c r="AA76" s="9" t="s">
        <v>12</v>
      </c>
      <c r="AB76" s="9" t="s">
        <v>12</v>
      </c>
      <c r="AC76" s="9" t="s">
        <v>12</v>
      </c>
      <c r="AD76" s="9" t="s">
        <v>309</v>
      </c>
      <c r="AE76" s="12">
        <v>0</v>
      </c>
      <c r="AF76" s="12">
        <v>0</v>
      </c>
      <c r="AG76" s="12">
        <v>0</v>
      </c>
      <c r="AH76" s="12">
        <v>0</v>
      </c>
      <c r="AI76" s="12">
        <v>0</v>
      </c>
      <c r="AJ76" s="12">
        <v>0</v>
      </c>
    </row>
    <row r="77" spans="1:36" ht="105" x14ac:dyDescent="0.2">
      <c r="A77" s="10" t="s">
        <v>35</v>
      </c>
      <c r="B77" s="13">
        <v>0</v>
      </c>
      <c r="C77" s="13">
        <v>0</v>
      </c>
      <c r="D77" s="10">
        <v>2</v>
      </c>
      <c r="E77" s="10">
        <v>3</v>
      </c>
      <c r="F77" s="10">
        <v>2</v>
      </c>
      <c r="G77" s="10" t="s">
        <v>11</v>
      </c>
      <c r="H77" s="10" t="s">
        <v>15</v>
      </c>
      <c r="I77" s="10" t="s">
        <v>87</v>
      </c>
      <c r="J77" s="10">
        <v>2</v>
      </c>
      <c r="K77" s="10" t="s">
        <v>81</v>
      </c>
      <c r="L77" s="10" t="s">
        <v>20</v>
      </c>
      <c r="M77" s="10" t="s">
        <v>11</v>
      </c>
      <c r="N77" s="10" t="s">
        <v>143</v>
      </c>
      <c r="O77" s="10" t="s">
        <v>68</v>
      </c>
      <c r="P77" s="10" t="s">
        <v>64</v>
      </c>
      <c r="Q77" s="10" t="s">
        <v>66</v>
      </c>
      <c r="R77" s="10" t="s">
        <v>65</v>
      </c>
      <c r="S77" s="10" t="s">
        <v>69</v>
      </c>
      <c r="T77" s="10" t="s">
        <v>67</v>
      </c>
      <c r="U77" s="10">
        <v>3</v>
      </c>
      <c r="V77" s="10" t="s">
        <v>27</v>
      </c>
      <c r="W77" s="10">
        <v>4</v>
      </c>
      <c r="X77" s="10" t="s">
        <v>329</v>
      </c>
      <c r="Y77" s="10" t="s">
        <v>278</v>
      </c>
      <c r="Z77" s="10" t="s">
        <v>330</v>
      </c>
      <c r="AA77" s="10" t="s">
        <v>12</v>
      </c>
      <c r="AB77" s="10" t="s">
        <v>12</v>
      </c>
      <c r="AC77" s="10" t="s">
        <v>12</v>
      </c>
      <c r="AD77" s="10" t="s">
        <v>250</v>
      </c>
      <c r="AE77" s="13">
        <v>0</v>
      </c>
      <c r="AF77" s="13">
        <v>0</v>
      </c>
      <c r="AG77" s="13">
        <v>0</v>
      </c>
      <c r="AH77" s="13">
        <v>0</v>
      </c>
      <c r="AI77" s="13">
        <v>0</v>
      </c>
      <c r="AJ77" s="13">
        <v>0</v>
      </c>
    </row>
    <row r="78" spans="1:36" ht="66" x14ac:dyDescent="0.2">
      <c r="A78" s="9" t="s">
        <v>35</v>
      </c>
      <c r="B78" s="12">
        <v>0</v>
      </c>
      <c r="C78" s="12">
        <v>0</v>
      </c>
      <c r="D78" s="9">
        <v>1</v>
      </c>
      <c r="E78" s="9">
        <v>4</v>
      </c>
      <c r="F78" s="9">
        <v>1</v>
      </c>
      <c r="G78" s="9" t="s">
        <v>13</v>
      </c>
      <c r="H78" s="9" t="s">
        <v>16</v>
      </c>
      <c r="I78" s="9" t="s">
        <v>87</v>
      </c>
      <c r="J78" s="9">
        <v>1</v>
      </c>
      <c r="K78" s="9" t="s">
        <v>88</v>
      </c>
      <c r="L78" s="9" t="s">
        <v>21</v>
      </c>
      <c r="M78" s="9" t="s">
        <v>12</v>
      </c>
      <c r="N78" s="9" t="s">
        <v>130</v>
      </c>
      <c r="O78" s="9" t="s">
        <v>66</v>
      </c>
      <c r="P78" s="9" t="s">
        <v>64</v>
      </c>
      <c r="Q78" s="9" t="s">
        <v>68</v>
      </c>
      <c r="R78" s="9" t="s">
        <v>69</v>
      </c>
      <c r="S78" s="9" t="s">
        <v>65</v>
      </c>
      <c r="T78" s="9" t="s">
        <v>67</v>
      </c>
      <c r="U78" s="9">
        <v>5</v>
      </c>
      <c r="V78" s="9" t="s">
        <v>26</v>
      </c>
      <c r="W78" s="9">
        <v>1</v>
      </c>
      <c r="X78" s="9" t="s">
        <v>331</v>
      </c>
      <c r="Y78" s="9" t="s">
        <v>92</v>
      </c>
      <c r="Z78" s="9" t="s">
        <v>72</v>
      </c>
      <c r="AA78" s="9" t="s">
        <v>13</v>
      </c>
      <c r="AB78" s="9" t="s">
        <v>12</v>
      </c>
      <c r="AC78" s="9" t="s">
        <v>12</v>
      </c>
      <c r="AD78" s="9" t="s">
        <v>332</v>
      </c>
      <c r="AE78" s="12">
        <v>0</v>
      </c>
      <c r="AF78" s="12">
        <v>0</v>
      </c>
      <c r="AG78" s="12">
        <v>0</v>
      </c>
      <c r="AH78" s="12">
        <v>0</v>
      </c>
      <c r="AI78" s="12">
        <v>0</v>
      </c>
      <c r="AJ78" s="12">
        <v>0</v>
      </c>
    </row>
    <row r="79" spans="1:36" ht="105" x14ac:dyDescent="0.2">
      <c r="A79" s="10" t="s">
        <v>35</v>
      </c>
      <c r="B79" s="13">
        <v>0</v>
      </c>
      <c r="C79" s="13">
        <v>0</v>
      </c>
      <c r="D79" s="10">
        <v>2</v>
      </c>
      <c r="E79" s="10">
        <v>3</v>
      </c>
      <c r="F79" s="10">
        <v>1</v>
      </c>
      <c r="G79" s="10" t="s">
        <v>11</v>
      </c>
      <c r="H79" s="10" t="s">
        <v>16</v>
      </c>
      <c r="I79" s="10" t="s">
        <v>152</v>
      </c>
      <c r="J79" s="10">
        <v>2</v>
      </c>
      <c r="K79" s="10" t="s">
        <v>333</v>
      </c>
      <c r="L79" s="10" t="s">
        <v>20</v>
      </c>
      <c r="M79" s="10" t="s">
        <v>12</v>
      </c>
      <c r="N79" s="10" t="s">
        <v>159</v>
      </c>
      <c r="O79" s="10" t="s">
        <v>66</v>
      </c>
      <c r="P79" s="10" t="s">
        <v>68</v>
      </c>
      <c r="Q79" s="10" t="s">
        <v>64</v>
      </c>
      <c r="R79" s="10" t="s">
        <v>67</v>
      </c>
      <c r="S79" s="10" t="s">
        <v>65</v>
      </c>
      <c r="T79" s="10" t="s">
        <v>69</v>
      </c>
      <c r="U79" s="10">
        <v>4</v>
      </c>
      <c r="V79" s="10" t="s">
        <v>26</v>
      </c>
      <c r="W79" s="10">
        <v>2</v>
      </c>
      <c r="X79" s="10" t="s">
        <v>334</v>
      </c>
      <c r="Y79" s="10" t="s">
        <v>106</v>
      </c>
      <c r="Z79" s="10" t="s">
        <v>335</v>
      </c>
      <c r="AA79" s="10" t="s">
        <v>12</v>
      </c>
      <c r="AB79" s="10" t="s">
        <v>12</v>
      </c>
      <c r="AC79" s="10" t="s">
        <v>12</v>
      </c>
      <c r="AD79" s="10" t="s">
        <v>169</v>
      </c>
      <c r="AE79" s="13">
        <v>0</v>
      </c>
      <c r="AF79" s="13">
        <v>0</v>
      </c>
      <c r="AG79" s="10" t="s">
        <v>336</v>
      </c>
      <c r="AH79" s="13" t="s">
        <v>337</v>
      </c>
      <c r="AI79" s="13">
        <v>0</v>
      </c>
      <c r="AJ79" s="13">
        <v>0</v>
      </c>
    </row>
    <row r="80" spans="1:36" ht="79" x14ac:dyDescent="0.2">
      <c r="A80" s="9" t="s">
        <v>35</v>
      </c>
      <c r="B80" s="12">
        <v>0</v>
      </c>
      <c r="C80" s="12">
        <v>0</v>
      </c>
      <c r="D80" s="9">
        <v>1</v>
      </c>
      <c r="E80" s="9">
        <v>2</v>
      </c>
      <c r="F80" s="9">
        <v>3</v>
      </c>
      <c r="G80" s="9" t="s">
        <v>13</v>
      </c>
      <c r="H80" s="9" t="s">
        <v>16</v>
      </c>
      <c r="I80" s="9" t="s">
        <v>338</v>
      </c>
      <c r="J80" s="9">
        <v>2</v>
      </c>
      <c r="K80" s="9" t="s">
        <v>304</v>
      </c>
      <c r="L80" s="9" t="s">
        <v>21</v>
      </c>
      <c r="M80" s="9" t="s">
        <v>12</v>
      </c>
      <c r="N80" s="9" t="s">
        <v>339</v>
      </c>
      <c r="O80" s="9" t="s">
        <v>64</v>
      </c>
      <c r="P80" s="9" t="s">
        <v>66</v>
      </c>
      <c r="Q80" s="9" t="s">
        <v>68</v>
      </c>
      <c r="R80" s="9" t="s">
        <v>67</v>
      </c>
      <c r="S80" s="9" t="s">
        <v>69</v>
      </c>
      <c r="T80" s="9" t="s">
        <v>65</v>
      </c>
      <c r="U80" s="9">
        <v>1</v>
      </c>
      <c r="V80" s="9">
        <v>0</v>
      </c>
      <c r="W80" s="9">
        <v>5</v>
      </c>
      <c r="X80" s="9" t="s">
        <v>190</v>
      </c>
      <c r="Y80" s="9" t="s">
        <v>215</v>
      </c>
      <c r="Z80" s="9" t="s">
        <v>72</v>
      </c>
      <c r="AA80" s="9" t="s">
        <v>12</v>
      </c>
      <c r="AB80" s="9" t="s">
        <v>13</v>
      </c>
      <c r="AC80" s="9" t="s">
        <v>11</v>
      </c>
      <c r="AD80" s="9" t="s">
        <v>309</v>
      </c>
      <c r="AE80" s="12">
        <v>0</v>
      </c>
      <c r="AF80" s="12">
        <v>0</v>
      </c>
      <c r="AG80" s="12">
        <v>0</v>
      </c>
      <c r="AH80" s="12">
        <v>0</v>
      </c>
      <c r="AI80" s="12">
        <v>0</v>
      </c>
      <c r="AJ80" s="12">
        <v>0</v>
      </c>
    </row>
    <row r="81" spans="1:36" ht="79" x14ac:dyDescent="0.2">
      <c r="A81" s="10" t="s">
        <v>35</v>
      </c>
      <c r="B81" s="13">
        <v>0</v>
      </c>
      <c r="C81" s="13">
        <v>0</v>
      </c>
      <c r="D81" s="10">
        <v>2</v>
      </c>
      <c r="E81" s="10">
        <v>4</v>
      </c>
      <c r="F81" s="10">
        <v>2</v>
      </c>
      <c r="G81" s="10" t="s">
        <v>11</v>
      </c>
      <c r="H81" s="10" t="s">
        <v>11</v>
      </c>
      <c r="I81" s="13">
        <v>0</v>
      </c>
      <c r="J81" s="10">
        <v>4</v>
      </c>
      <c r="K81" s="10" t="s">
        <v>103</v>
      </c>
      <c r="L81" s="10" t="s">
        <v>20</v>
      </c>
      <c r="M81" s="10" t="s">
        <v>12</v>
      </c>
      <c r="N81" s="10" t="s">
        <v>126</v>
      </c>
      <c r="O81" s="10" t="s">
        <v>64</v>
      </c>
      <c r="P81" s="10" t="s">
        <v>66</v>
      </c>
      <c r="Q81" s="10" t="s">
        <v>68</v>
      </c>
      <c r="R81" s="10" t="s">
        <v>67</v>
      </c>
      <c r="S81" s="10" t="s">
        <v>65</v>
      </c>
      <c r="T81" s="10" t="s">
        <v>69</v>
      </c>
      <c r="U81" s="10">
        <v>4</v>
      </c>
      <c r="V81" s="10" t="s">
        <v>27</v>
      </c>
      <c r="W81" s="10">
        <v>2</v>
      </c>
      <c r="X81" s="10" t="s">
        <v>340</v>
      </c>
      <c r="Y81" s="10" t="s">
        <v>341</v>
      </c>
      <c r="Z81" s="10" t="s">
        <v>342</v>
      </c>
      <c r="AA81" s="10" t="s">
        <v>11</v>
      </c>
      <c r="AB81" s="10" t="s">
        <v>12</v>
      </c>
      <c r="AC81" s="10" t="s">
        <v>12</v>
      </c>
      <c r="AD81" s="10" t="s">
        <v>73</v>
      </c>
      <c r="AE81" s="13">
        <v>0</v>
      </c>
      <c r="AF81" s="13">
        <v>0</v>
      </c>
      <c r="AG81" s="13">
        <v>0</v>
      </c>
      <c r="AH81" s="13">
        <v>0</v>
      </c>
      <c r="AI81" s="13">
        <v>0</v>
      </c>
      <c r="AJ81" s="13">
        <v>0</v>
      </c>
    </row>
    <row r="82" spans="1:36" ht="118" x14ac:dyDescent="0.2">
      <c r="A82" s="9" t="s">
        <v>35</v>
      </c>
      <c r="B82" s="12">
        <v>0</v>
      </c>
      <c r="C82" s="12">
        <v>0</v>
      </c>
      <c r="D82" s="9">
        <v>3</v>
      </c>
      <c r="E82" s="9">
        <v>5</v>
      </c>
      <c r="F82" s="9">
        <v>3</v>
      </c>
      <c r="G82" s="9" t="s">
        <v>13</v>
      </c>
      <c r="H82" s="9" t="s">
        <v>15</v>
      </c>
      <c r="I82" s="9" t="s">
        <v>343</v>
      </c>
      <c r="J82" s="9">
        <v>3</v>
      </c>
      <c r="K82" s="9" t="s">
        <v>103</v>
      </c>
      <c r="L82" s="9" t="s">
        <v>21</v>
      </c>
      <c r="M82" s="9" t="s">
        <v>12</v>
      </c>
      <c r="N82" s="9" t="s">
        <v>192</v>
      </c>
      <c r="O82" s="9" t="s">
        <v>68</v>
      </c>
      <c r="P82" s="9" t="s">
        <v>65</v>
      </c>
      <c r="Q82" s="9" t="s">
        <v>66</v>
      </c>
      <c r="R82" s="9" t="s">
        <v>67</v>
      </c>
      <c r="S82" s="9" t="s">
        <v>64</v>
      </c>
      <c r="T82" s="9" t="s">
        <v>69</v>
      </c>
      <c r="U82" s="9">
        <v>4</v>
      </c>
      <c r="V82" s="9" t="s">
        <v>26</v>
      </c>
      <c r="W82" s="9">
        <v>2</v>
      </c>
      <c r="X82" s="9" t="s">
        <v>241</v>
      </c>
      <c r="Y82" s="9" t="s">
        <v>155</v>
      </c>
      <c r="Z82" s="9" t="s">
        <v>175</v>
      </c>
      <c r="AA82" s="9" t="s">
        <v>12</v>
      </c>
      <c r="AB82" s="9" t="s">
        <v>12</v>
      </c>
      <c r="AC82" s="9" t="s">
        <v>12</v>
      </c>
      <c r="AD82" s="9" t="s">
        <v>113</v>
      </c>
      <c r="AE82" s="12">
        <v>0</v>
      </c>
      <c r="AF82" s="12">
        <v>0</v>
      </c>
      <c r="AG82" s="12">
        <v>0</v>
      </c>
      <c r="AH82" s="12">
        <v>0</v>
      </c>
      <c r="AI82" s="12">
        <v>0</v>
      </c>
      <c r="AJ82" s="12">
        <v>0</v>
      </c>
    </row>
    <row r="83" spans="1:36" ht="92" x14ac:dyDescent="0.2">
      <c r="A83" s="10" t="s">
        <v>35</v>
      </c>
      <c r="B83" s="13">
        <v>0</v>
      </c>
      <c r="C83" s="13">
        <v>0</v>
      </c>
      <c r="D83" s="10">
        <v>2</v>
      </c>
      <c r="E83" s="10">
        <v>4</v>
      </c>
      <c r="F83" s="10">
        <v>2</v>
      </c>
      <c r="G83" s="10" t="s">
        <v>11</v>
      </c>
      <c r="H83" s="10" t="s">
        <v>15</v>
      </c>
      <c r="I83" s="10" t="s">
        <v>94</v>
      </c>
      <c r="J83" s="10">
        <v>3</v>
      </c>
      <c r="K83" s="10" t="s">
        <v>81</v>
      </c>
      <c r="L83" s="10" t="s">
        <v>21</v>
      </c>
      <c r="M83" s="10" t="s">
        <v>12</v>
      </c>
      <c r="N83" s="10" t="s">
        <v>344</v>
      </c>
      <c r="O83" s="10" t="s">
        <v>66</v>
      </c>
      <c r="P83" s="10" t="s">
        <v>64</v>
      </c>
      <c r="Q83" s="10" t="s">
        <v>65</v>
      </c>
      <c r="R83" s="10" t="s">
        <v>69</v>
      </c>
      <c r="S83" s="10" t="s">
        <v>68</v>
      </c>
      <c r="T83" s="10" t="s">
        <v>67</v>
      </c>
      <c r="U83" s="10">
        <v>5</v>
      </c>
      <c r="V83" s="10" t="s">
        <v>26</v>
      </c>
      <c r="W83" s="10">
        <v>2</v>
      </c>
      <c r="X83" s="10" t="s">
        <v>100</v>
      </c>
      <c r="Y83" s="10" t="s">
        <v>345</v>
      </c>
      <c r="Z83" s="10" t="s">
        <v>216</v>
      </c>
      <c r="AA83" s="10" t="s">
        <v>12</v>
      </c>
      <c r="AB83" s="10" t="s">
        <v>12</v>
      </c>
      <c r="AC83" s="10" t="s">
        <v>12</v>
      </c>
      <c r="AD83" s="10" t="s">
        <v>332</v>
      </c>
      <c r="AE83" s="13">
        <v>0</v>
      </c>
      <c r="AF83" s="13">
        <v>0</v>
      </c>
      <c r="AG83" s="13">
        <v>0</v>
      </c>
      <c r="AH83" s="13">
        <v>0</v>
      </c>
      <c r="AI83" s="13">
        <v>0</v>
      </c>
      <c r="AJ83" s="13">
        <v>0</v>
      </c>
    </row>
    <row r="84" spans="1:36" ht="92" x14ac:dyDescent="0.2">
      <c r="A84" s="9" t="s">
        <v>35</v>
      </c>
      <c r="B84" s="12">
        <v>0</v>
      </c>
      <c r="C84" s="12">
        <v>0</v>
      </c>
      <c r="D84" s="9">
        <v>1</v>
      </c>
      <c r="E84" s="9">
        <v>3</v>
      </c>
      <c r="F84" s="9">
        <v>2</v>
      </c>
      <c r="G84" s="9" t="s">
        <v>13</v>
      </c>
      <c r="H84" s="9" t="s">
        <v>16</v>
      </c>
      <c r="I84" s="9" t="s">
        <v>87</v>
      </c>
      <c r="J84" s="9">
        <v>2</v>
      </c>
      <c r="K84" s="9" t="s">
        <v>81</v>
      </c>
      <c r="L84" s="9" t="s">
        <v>22</v>
      </c>
      <c r="M84" s="9" t="s">
        <v>12</v>
      </c>
      <c r="N84" s="9" t="s">
        <v>339</v>
      </c>
      <c r="O84" s="9" t="s">
        <v>66</v>
      </c>
      <c r="P84" s="9" t="s">
        <v>69</v>
      </c>
      <c r="Q84" s="9" t="s">
        <v>67</v>
      </c>
      <c r="R84" s="9" t="s">
        <v>65</v>
      </c>
      <c r="S84" s="9" t="s">
        <v>64</v>
      </c>
      <c r="T84" s="9" t="s">
        <v>68</v>
      </c>
      <c r="U84" s="9">
        <v>3</v>
      </c>
      <c r="V84" s="9" t="s">
        <v>26</v>
      </c>
      <c r="W84" s="9">
        <v>2</v>
      </c>
      <c r="X84" s="9" t="s">
        <v>346</v>
      </c>
      <c r="Y84" s="9" t="s">
        <v>132</v>
      </c>
      <c r="Z84" s="9" t="s">
        <v>347</v>
      </c>
      <c r="AA84" s="9" t="s">
        <v>12</v>
      </c>
      <c r="AB84" s="9" t="s">
        <v>12</v>
      </c>
      <c r="AC84" s="9" t="s">
        <v>12</v>
      </c>
      <c r="AD84" s="9" t="s">
        <v>348</v>
      </c>
      <c r="AE84" s="12">
        <v>0</v>
      </c>
      <c r="AF84" s="12">
        <v>0</v>
      </c>
      <c r="AG84" s="12">
        <v>0</v>
      </c>
      <c r="AH84" s="12">
        <v>0</v>
      </c>
      <c r="AI84" s="12">
        <v>0</v>
      </c>
      <c r="AJ84" s="12">
        <v>0</v>
      </c>
    </row>
    <row r="85" spans="1:36" ht="53" x14ac:dyDescent="0.2">
      <c r="A85" s="10" t="s">
        <v>35</v>
      </c>
      <c r="B85" s="13">
        <v>0</v>
      </c>
      <c r="C85" s="13">
        <v>0</v>
      </c>
      <c r="D85" s="10">
        <v>1</v>
      </c>
      <c r="E85" s="10">
        <v>1</v>
      </c>
      <c r="F85" s="10">
        <v>1</v>
      </c>
      <c r="G85" s="10" t="s">
        <v>11</v>
      </c>
      <c r="H85" s="10" t="s">
        <v>11</v>
      </c>
      <c r="I85" s="13">
        <v>0</v>
      </c>
      <c r="J85" s="10">
        <v>3</v>
      </c>
      <c r="K85" s="10" t="s">
        <v>88</v>
      </c>
      <c r="L85" s="10" t="s">
        <v>21</v>
      </c>
      <c r="M85" s="10" t="s">
        <v>13</v>
      </c>
      <c r="N85" s="10" t="s">
        <v>170</v>
      </c>
      <c r="O85" s="10" t="s">
        <v>68</v>
      </c>
      <c r="P85" s="10" t="s">
        <v>64</v>
      </c>
      <c r="Q85" s="10" t="s">
        <v>69</v>
      </c>
      <c r="R85" s="10" t="s">
        <v>66</v>
      </c>
      <c r="S85" s="10" t="s">
        <v>67</v>
      </c>
      <c r="T85" s="10" t="s">
        <v>65</v>
      </c>
      <c r="U85" s="10">
        <v>1</v>
      </c>
      <c r="V85" s="10" t="s">
        <v>26</v>
      </c>
      <c r="W85" s="10">
        <v>3</v>
      </c>
      <c r="X85" s="10" t="s">
        <v>190</v>
      </c>
      <c r="Y85" s="10" t="s">
        <v>193</v>
      </c>
      <c r="Z85" s="10">
        <v>0</v>
      </c>
      <c r="AA85" s="10" t="s">
        <v>12</v>
      </c>
      <c r="AB85" s="10" t="s">
        <v>11</v>
      </c>
      <c r="AC85" s="10" t="s">
        <v>11</v>
      </c>
      <c r="AD85" s="10" t="s">
        <v>162</v>
      </c>
      <c r="AE85" s="13">
        <v>0</v>
      </c>
      <c r="AF85" s="13">
        <v>0</v>
      </c>
      <c r="AG85" s="13">
        <v>0</v>
      </c>
      <c r="AH85" s="13">
        <v>0</v>
      </c>
      <c r="AI85" s="13">
        <v>0</v>
      </c>
      <c r="AJ85" s="13">
        <v>0</v>
      </c>
    </row>
    <row r="86" spans="1:36" ht="105" x14ac:dyDescent="0.2">
      <c r="A86" s="9" t="s">
        <v>36</v>
      </c>
      <c r="B86" s="9" t="s">
        <v>4</v>
      </c>
      <c r="C86" s="9" t="s">
        <v>7</v>
      </c>
      <c r="D86" s="9">
        <v>1</v>
      </c>
      <c r="E86" s="9">
        <v>4</v>
      </c>
      <c r="F86" s="9">
        <v>2</v>
      </c>
      <c r="G86" s="9" t="s">
        <v>11</v>
      </c>
      <c r="H86" s="9" t="s">
        <v>11</v>
      </c>
      <c r="I86" s="12">
        <v>0</v>
      </c>
      <c r="J86" s="9">
        <v>2</v>
      </c>
      <c r="K86" s="9" t="s">
        <v>81</v>
      </c>
      <c r="L86" s="9" t="s">
        <v>21</v>
      </c>
      <c r="M86" s="9" t="s">
        <v>12</v>
      </c>
      <c r="N86" s="9" t="s">
        <v>159</v>
      </c>
      <c r="O86" s="9" t="s">
        <v>68</v>
      </c>
      <c r="P86" s="9" t="s">
        <v>65</v>
      </c>
      <c r="Q86" s="9" t="s">
        <v>67</v>
      </c>
      <c r="R86" s="9" t="s">
        <v>69</v>
      </c>
      <c r="S86" s="9" t="s">
        <v>64</v>
      </c>
      <c r="T86" s="9" t="s">
        <v>66</v>
      </c>
      <c r="U86" s="9">
        <v>4</v>
      </c>
      <c r="V86" s="9" t="s">
        <v>26</v>
      </c>
      <c r="W86" s="9">
        <v>1</v>
      </c>
      <c r="X86" s="9" t="s">
        <v>95</v>
      </c>
      <c r="Y86" s="9" t="s">
        <v>349</v>
      </c>
      <c r="Z86" s="9" t="s">
        <v>350</v>
      </c>
      <c r="AA86" s="9" t="s">
        <v>13</v>
      </c>
      <c r="AB86" s="9" t="s">
        <v>12</v>
      </c>
      <c r="AC86" s="9" t="s">
        <v>12</v>
      </c>
      <c r="AD86" s="9" t="s">
        <v>113</v>
      </c>
      <c r="AE86" s="9">
        <v>0</v>
      </c>
      <c r="AF86" s="9">
        <v>0</v>
      </c>
      <c r="AG86" s="9">
        <v>0</v>
      </c>
      <c r="AH86" s="9">
        <v>0</v>
      </c>
      <c r="AI86" s="9">
        <v>0</v>
      </c>
      <c r="AJ86" s="9">
        <v>0</v>
      </c>
    </row>
    <row r="87" spans="1:36" ht="105" x14ac:dyDescent="0.2">
      <c r="A87" s="10" t="s">
        <v>35</v>
      </c>
      <c r="B87" s="13">
        <v>0</v>
      </c>
      <c r="C87" s="13">
        <v>0</v>
      </c>
      <c r="D87" s="10">
        <v>2</v>
      </c>
      <c r="E87" s="10">
        <v>4</v>
      </c>
      <c r="F87" s="10">
        <v>2</v>
      </c>
      <c r="G87" s="10" t="s">
        <v>11</v>
      </c>
      <c r="H87" s="10" t="s">
        <v>16</v>
      </c>
      <c r="I87" s="10" t="s">
        <v>99</v>
      </c>
      <c r="J87" s="10">
        <v>3</v>
      </c>
      <c r="K87" s="10" t="s">
        <v>88</v>
      </c>
      <c r="L87" s="10" t="s">
        <v>21</v>
      </c>
      <c r="M87" s="10" t="s">
        <v>12</v>
      </c>
      <c r="N87" s="10" t="s">
        <v>339</v>
      </c>
      <c r="O87" s="10" t="s">
        <v>64</v>
      </c>
      <c r="P87" s="10" t="s">
        <v>65</v>
      </c>
      <c r="Q87" s="10" t="s">
        <v>66</v>
      </c>
      <c r="R87" s="10" t="s">
        <v>68</v>
      </c>
      <c r="S87" s="10" t="s">
        <v>67</v>
      </c>
      <c r="T87" s="10" t="s">
        <v>69</v>
      </c>
      <c r="U87" s="10">
        <v>5</v>
      </c>
      <c r="V87" s="10" t="s">
        <v>26</v>
      </c>
      <c r="W87" s="10">
        <v>2</v>
      </c>
      <c r="X87" s="10" t="s">
        <v>83</v>
      </c>
      <c r="Y87" s="10" t="s">
        <v>351</v>
      </c>
      <c r="Z87" s="10" t="s">
        <v>352</v>
      </c>
      <c r="AA87" s="10" t="s">
        <v>12</v>
      </c>
      <c r="AB87" s="10" t="s">
        <v>12</v>
      </c>
      <c r="AC87" s="10" t="s">
        <v>12</v>
      </c>
      <c r="AD87" s="10" t="s">
        <v>93</v>
      </c>
      <c r="AE87" s="10" t="s">
        <v>353</v>
      </c>
      <c r="AF87" s="13" t="s">
        <v>354</v>
      </c>
      <c r="AG87" s="10" t="s">
        <v>355</v>
      </c>
      <c r="AH87" s="13" t="s">
        <v>356</v>
      </c>
      <c r="AI87" s="13">
        <v>0</v>
      </c>
      <c r="AJ87" s="13">
        <v>0</v>
      </c>
    </row>
    <row r="88" spans="1:36" ht="40" x14ac:dyDescent="0.2">
      <c r="A88" s="9" t="s">
        <v>36</v>
      </c>
      <c r="B88" s="9" t="s">
        <v>5</v>
      </c>
      <c r="C88" s="9" t="s">
        <v>7</v>
      </c>
      <c r="D88" s="9">
        <v>3</v>
      </c>
      <c r="E88" s="9">
        <v>4</v>
      </c>
      <c r="F88" s="9">
        <v>2</v>
      </c>
      <c r="G88" s="9" t="s">
        <v>11</v>
      </c>
      <c r="H88" s="9" t="s">
        <v>15</v>
      </c>
      <c r="I88" s="9" t="s">
        <v>357</v>
      </c>
      <c r="J88" s="9">
        <v>1</v>
      </c>
      <c r="K88" s="9" t="s">
        <v>167</v>
      </c>
      <c r="L88" s="9" t="s">
        <v>20</v>
      </c>
      <c r="M88" s="9" t="s">
        <v>11</v>
      </c>
      <c r="N88" s="12">
        <v>0</v>
      </c>
      <c r="O88" s="9" t="s">
        <v>358</v>
      </c>
      <c r="P88" s="9" t="s">
        <v>68</v>
      </c>
      <c r="Q88" s="9" t="s">
        <v>65</v>
      </c>
      <c r="R88" s="9" t="s">
        <v>67</v>
      </c>
      <c r="S88" s="9" t="s">
        <v>69</v>
      </c>
      <c r="T88" s="9" t="s">
        <v>67</v>
      </c>
      <c r="U88" s="9">
        <v>5</v>
      </c>
      <c r="V88" s="9" t="s">
        <v>26</v>
      </c>
      <c r="W88" s="9">
        <v>4</v>
      </c>
      <c r="X88" s="9" t="s">
        <v>266</v>
      </c>
      <c r="Y88" s="9" t="s">
        <v>359</v>
      </c>
      <c r="Z88" s="9" t="s">
        <v>360</v>
      </c>
      <c r="AA88" s="9" t="s">
        <v>11</v>
      </c>
      <c r="AB88" s="9" t="s">
        <v>12</v>
      </c>
      <c r="AC88" s="9" t="s">
        <v>12</v>
      </c>
      <c r="AD88" s="9" t="s">
        <v>361</v>
      </c>
      <c r="AE88" s="12">
        <v>0</v>
      </c>
      <c r="AF88" s="12">
        <v>0</v>
      </c>
      <c r="AG88" s="12">
        <v>0</v>
      </c>
      <c r="AH88" s="12">
        <v>0</v>
      </c>
      <c r="AI88" s="12">
        <v>0</v>
      </c>
      <c r="AJ88" s="12">
        <v>0</v>
      </c>
    </row>
    <row r="89" spans="1:36" ht="92" x14ac:dyDescent="0.2">
      <c r="A89" s="10" t="s">
        <v>35</v>
      </c>
      <c r="B89" s="13">
        <v>0</v>
      </c>
      <c r="C89" s="13">
        <v>0</v>
      </c>
      <c r="D89" s="10">
        <v>2</v>
      </c>
      <c r="E89" s="10">
        <v>3</v>
      </c>
      <c r="F89" s="10">
        <v>4</v>
      </c>
      <c r="G89" s="10" t="s">
        <v>12</v>
      </c>
      <c r="H89" s="10" t="s">
        <v>15</v>
      </c>
      <c r="I89" s="10" t="s">
        <v>94</v>
      </c>
      <c r="J89" s="10">
        <v>4</v>
      </c>
      <c r="K89" s="10" t="s">
        <v>62</v>
      </c>
      <c r="L89" s="10" t="s">
        <v>22</v>
      </c>
      <c r="M89" s="10" t="s">
        <v>13</v>
      </c>
      <c r="N89" s="13">
        <v>0</v>
      </c>
      <c r="O89" s="10" t="s">
        <v>69</v>
      </c>
      <c r="P89" s="10" t="s">
        <v>67</v>
      </c>
      <c r="Q89" s="10" t="s">
        <v>65</v>
      </c>
      <c r="R89" s="10" t="s">
        <v>68</v>
      </c>
      <c r="S89" s="10" t="s">
        <v>66</v>
      </c>
      <c r="T89" s="10" t="s">
        <v>64</v>
      </c>
      <c r="U89" s="10">
        <v>5</v>
      </c>
      <c r="V89" s="10" t="s">
        <v>26</v>
      </c>
      <c r="W89" s="10">
        <v>3</v>
      </c>
      <c r="X89" s="10" t="s">
        <v>154</v>
      </c>
      <c r="Y89" s="10" t="s">
        <v>362</v>
      </c>
      <c r="Z89" s="10" t="s">
        <v>342</v>
      </c>
      <c r="AA89" s="10" t="s">
        <v>12</v>
      </c>
      <c r="AB89" s="10" t="s">
        <v>12</v>
      </c>
      <c r="AC89" s="10" t="s">
        <v>12</v>
      </c>
      <c r="AD89" s="10" t="s">
        <v>363</v>
      </c>
      <c r="AE89" s="13">
        <v>0</v>
      </c>
      <c r="AF89" s="13">
        <v>0</v>
      </c>
      <c r="AG89" s="13">
        <v>0</v>
      </c>
      <c r="AH89" s="13">
        <v>0</v>
      </c>
      <c r="AI89" s="13">
        <v>0</v>
      </c>
      <c r="AJ89" s="13">
        <v>0</v>
      </c>
    </row>
    <row r="90" spans="1:36" ht="118" x14ac:dyDescent="0.2">
      <c r="A90" s="9" t="s">
        <v>35</v>
      </c>
      <c r="B90" s="12">
        <v>0</v>
      </c>
      <c r="C90" s="12">
        <v>0</v>
      </c>
      <c r="D90" s="9">
        <v>3</v>
      </c>
      <c r="E90" s="9">
        <v>4</v>
      </c>
      <c r="F90" s="9">
        <v>3</v>
      </c>
      <c r="G90" s="9" t="s">
        <v>11</v>
      </c>
      <c r="H90" s="9" t="s">
        <v>15</v>
      </c>
      <c r="I90" s="9" t="s">
        <v>94</v>
      </c>
      <c r="J90" s="9">
        <v>3</v>
      </c>
      <c r="K90" s="9" t="s">
        <v>81</v>
      </c>
      <c r="L90" s="9" t="s">
        <v>20</v>
      </c>
      <c r="M90" s="9" t="s">
        <v>13</v>
      </c>
      <c r="N90" s="12">
        <v>0</v>
      </c>
      <c r="O90" s="9" t="s">
        <v>66</v>
      </c>
      <c r="P90" s="9" t="s">
        <v>64</v>
      </c>
      <c r="Q90" s="9" t="s">
        <v>65</v>
      </c>
      <c r="R90" s="9" t="s">
        <v>69</v>
      </c>
      <c r="S90" s="9" t="s">
        <v>68</v>
      </c>
      <c r="T90" s="9" t="s">
        <v>67</v>
      </c>
      <c r="U90" s="9">
        <v>4</v>
      </c>
      <c r="V90" s="9" t="s">
        <v>28</v>
      </c>
      <c r="W90" s="9">
        <v>2</v>
      </c>
      <c r="X90" s="9" t="s">
        <v>171</v>
      </c>
      <c r="Y90" s="9" t="s">
        <v>364</v>
      </c>
      <c r="Z90" s="9" t="s">
        <v>365</v>
      </c>
      <c r="AA90" s="9" t="s">
        <v>13</v>
      </c>
      <c r="AB90" s="9" t="s">
        <v>12</v>
      </c>
      <c r="AC90" s="9" t="s">
        <v>12</v>
      </c>
      <c r="AD90" s="9" t="s">
        <v>86</v>
      </c>
      <c r="AE90" s="12">
        <v>0</v>
      </c>
      <c r="AF90" s="12">
        <v>0</v>
      </c>
      <c r="AG90" s="12">
        <v>0</v>
      </c>
      <c r="AH90" s="12">
        <v>0</v>
      </c>
      <c r="AI90" s="12">
        <v>0</v>
      </c>
      <c r="AJ90" s="12">
        <v>0</v>
      </c>
    </row>
    <row r="91" spans="1:36" ht="53" x14ac:dyDescent="0.2">
      <c r="A91" s="10" t="s">
        <v>36</v>
      </c>
      <c r="B91" s="10" t="s">
        <v>3</v>
      </c>
      <c r="C91" s="10" t="s">
        <v>8</v>
      </c>
      <c r="D91" s="10">
        <v>3</v>
      </c>
      <c r="E91" s="10">
        <v>5</v>
      </c>
      <c r="F91" s="10">
        <v>4</v>
      </c>
      <c r="G91" s="10" t="s">
        <v>12</v>
      </c>
      <c r="H91" s="10" t="s">
        <v>15</v>
      </c>
      <c r="I91" s="10" t="s">
        <v>199</v>
      </c>
      <c r="J91" s="10">
        <v>3</v>
      </c>
      <c r="K91" s="10" t="s">
        <v>167</v>
      </c>
      <c r="L91" s="10" t="s">
        <v>22</v>
      </c>
      <c r="M91" s="10" t="s">
        <v>12</v>
      </c>
      <c r="N91" s="10" t="s">
        <v>159</v>
      </c>
      <c r="O91" s="10" t="s">
        <v>66</v>
      </c>
      <c r="P91" s="10" t="s">
        <v>64</v>
      </c>
      <c r="Q91" s="10" t="s">
        <v>68</v>
      </c>
      <c r="R91" s="10" t="s">
        <v>65</v>
      </c>
      <c r="S91" s="10" t="s">
        <v>67</v>
      </c>
      <c r="T91" s="10" t="s">
        <v>69</v>
      </c>
      <c r="U91" s="10">
        <v>5</v>
      </c>
      <c r="V91" s="10" t="s">
        <v>27</v>
      </c>
      <c r="W91" s="10">
        <v>2</v>
      </c>
      <c r="X91" s="10" t="s">
        <v>266</v>
      </c>
      <c r="Y91" s="10" t="s">
        <v>183</v>
      </c>
      <c r="Z91" s="10" t="s">
        <v>366</v>
      </c>
      <c r="AA91" s="10" t="s">
        <v>13</v>
      </c>
      <c r="AB91" s="10" t="s">
        <v>12</v>
      </c>
      <c r="AC91" s="10" t="s">
        <v>12</v>
      </c>
      <c r="AD91" s="10" t="s">
        <v>86</v>
      </c>
      <c r="AE91" s="13">
        <v>0</v>
      </c>
      <c r="AF91" s="13">
        <v>0</v>
      </c>
      <c r="AG91" s="13">
        <v>0</v>
      </c>
      <c r="AH91" s="13">
        <v>0</v>
      </c>
      <c r="AI91" s="13">
        <v>0</v>
      </c>
      <c r="AJ91" s="13">
        <v>0</v>
      </c>
    </row>
    <row r="92" spans="1:36" ht="79" x14ac:dyDescent="0.2">
      <c r="A92" s="9" t="s">
        <v>36</v>
      </c>
      <c r="B92" s="9" t="s">
        <v>5</v>
      </c>
      <c r="C92" s="9" t="s">
        <v>7</v>
      </c>
      <c r="D92" s="9">
        <v>3</v>
      </c>
      <c r="E92" s="9">
        <v>4</v>
      </c>
      <c r="F92" s="9">
        <v>4</v>
      </c>
      <c r="G92" s="9" t="s">
        <v>11</v>
      </c>
      <c r="H92" s="9" t="s">
        <v>17</v>
      </c>
      <c r="I92" s="9" t="s">
        <v>199</v>
      </c>
      <c r="J92" s="9">
        <v>4</v>
      </c>
      <c r="K92" s="9" t="s">
        <v>103</v>
      </c>
      <c r="L92" s="9" t="s">
        <v>20</v>
      </c>
      <c r="M92" s="9" t="s">
        <v>12</v>
      </c>
      <c r="N92" s="9" t="s">
        <v>258</v>
      </c>
      <c r="O92" s="9" t="s">
        <v>358</v>
      </c>
      <c r="P92" s="9" t="s">
        <v>367</v>
      </c>
      <c r="Q92" s="9" t="s">
        <v>65</v>
      </c>
      <c r="R92" s="9" t="s">
        <v>68</v>
      </c>
      <c r="S92" s="9" t="s">
        <v>67</v>
      </c>
      <c r="T92" s="9" t="s">
        <v>69</v>
      </c>
      <c r="U92" s="9">
        <v>5</v>
      </c>
      <c r="V92" s="9" t="s">
        <v>26</v>
      </c>
      <c r="W92" s="9">
        <v>4</v>
      </c>
      <c r="X92" s="9" t="s">
        <v>368</v>
      </c>
      <c r="Y92" s="9" t="s">
        <v>183</v>
      </c>
      <c r="Z92" s="9" t="s">
        <v>369</v>
      </c>
      <c r="AA92" s="9" t="s">
        <v>11</v>
      </c>
      <c r="AB92" s="9" t="s">
        <v>12</v>
      </c>
      <c r="AC92" s="9" t="s">
        <v>12</v>
      </c>
      <c r="AD92" s="9" t="s">
        <v>86</v>
      </c>
      <c r="AE92" s="12">
        <v>0</v>
      </c>
      <c r="AF92" s="12">
        <v>0</v>
      </c>
      <c r="AG92" s="12">
        <v>0</v>
      </c>
      <c r="AH92" s="12">
        <v>0</v>
      </c>
      <c r="AI92" s="12">
        <v>0</v>
      </c>
      <c r="AJ92" s="12">
        <v>0</v>
      </c>
    </row>
    <row r="93" spans="1:36" ht="92" x14ac:dyDescent="0.2">
      <c r="A93" s="10" t="s">
        <v>36</v>
      </c>
      <c r="B93" s="10" t="s">
        <v>4</v>
      </c>
      <c r="C93" s="10" t="s">
        <v>7</v>
      </c>
      <c r="D93" s="10">
        <v>2</v>
      </c>
      <c r="E93" s="10">
        <v>3</v>
      </c>
      <c r="F93" s="10">
        <v>2</v>
      </c>
      <c r="G93" s="10" t="s">
        <v>12</v>
      </c>
      <c r="H93" s="10" t="s">
        <v>11</v>
      </c>
      <c r="I93" s="13">
        <v>0</v>
      </c>
      <c r="J93" s="10">
        <v>4</v>
      </c>
      <c r="K93" s="10" t="s">
        <v>81</v>
      </c>
      <c r="L93" s="10" t="s">
        <v>20</v>
      </c>
      <c r="M93" s="10" t="s">
        <v>12</v>
      </c>
      <c r="N93" s="10" t="s">
        <v>120</v>
      </c>
      <c r="O93" s="10" t="s">
        <v>69</v>
      </c>
      <c r="P93" s="10" t="s">
        <v>65</v>
      </c>
      <c r="Q93" s="10" t="s">
        <v>64</v>
      </c>
      <c r="R93" s="10" t="s">
        <v>68</v>
      </c>
      <c r="S93" s="10" t="s">
        <v>66</v>
      </c>
      <c r="T93" s="10" t="s">
        <v>67</v>
      </c>
      <c r="U93" s="10">
        <v>4</v>
      </c>
      <c r="V93" s="10" t="s">
        <v>26</v>
      </c>
      <c r="W93" s="10">
        <v>1</v>
      </c>
      <c r="X93" s="10" t="s">
        <v>163</v>
      </c>
      <c r="Y93" s="10" t="s">
        <v>370</v>
      </c>
      <c r="Z93" s="10" t="s">
        <v>371</v>
      </c>
      <c r="AA93" s="10" t="s">
        <v>11</v>
      </c>
      <c r="AB93" s="10" t="s">
        <v>12</v>
      </c>
      <c r="AC93" s="10" t="s">
        <v>12</v>
      </c>
      <c r="AD93" s="10" t="s">
        <v>157</v>
      </c>
      <c r="AE93" s="13">
        <v>0</v>
      </c>
      <c r="AF93" s="13">
        <v>0</v>
      </c>
      <c r="AG93" s="13">
        <v>0</v>
      </c>
      <c r="AH93" s="13">
        <v>0</v>
      </c>
      <c r="AI93" s="13">
        <v>0</v>
      </c>
      <c r="AJ93" s="13">
        <v>0</v>
      </c>
    </row>
    <row r="94" spans="1:36" ht="105" x14ac:dyDescent="0.2">
      <c r="A94" s="9" t="s">
        <v>36</v>
      </c>
      <c r="B94" s="9" t="s">
        <v>4</v>
      </c>
      <c r="C94" s="9" t="s">
        <v>8</v>
      </c>
      <c r="D94" s="9">
        <v>3</v>
      </c>
      <c r="E94" s="9">
        <v>5</v>
      </c>
      <c r="F94" s="9">
        <v>4</v>
      </c>
      <c r="G94" s="9" t="s">
        <v>12</v>
      </c>
      <c r="H94" s="9" t="s">
        <v>17</v>
      </c>
      <c r="I94" s="9" t="s">
        <v>372</v>
      </c>
      <c r="J94" s="9">
        <v>4</v>
      </c>
      <c r="K94" s="9" t="s">
        <v>103</v>
      </c>
      <c r="L94" s="9" t="s">
        <v>20</v>
      </c>
      <c r="M94" s="9" t="s">
        <v>13</v>
      </c>
      <c r="N94" s="12">
        <v>0</v>
      </c>
      <c r="O94" s="9" t="s">
        <v>66</v>
      </c>
      <c r="P94" s="9" t="s">
        <v>65</v>
      </c>
      <c r="Q94" s="9" t="s">
        <v>64</v>
      </c>
      <c r="R94" s="9" t="s">
        <v>69</v>
      </c>
      <c r="S94" s="9" t="s">
        <v>68</v>
      </c>
      <c r="T94" s="9" t="s">
        <v>67</v>
      </c>
      <c r="U94" s="9">
        <v>4</v>
      </c>
      <c r="V94" s="9" t="s">
        <v>26</v>
      </c>
      <c r="W94" s="9">
        <v>2</v>
      </c>
      <c r="X94" s="9" t="s">
        <v>373</v>
      </c>
      <c r="Y94" s="9" t="s">
        <v>364</v>
      </c>
      <c r="Z94" s="9" t="s">
        <v>374</v>
      </c>
      <c r="AA94" s="9" t="s">
        <v>11</v>
      </c>
      <c r="AB94" s="9" t="s">
        <v>12</v>
      </c>
      <c r="AC94" s="9" t="s">
        <v>12</v>
      </c>
      <c r="AD94" s="9" t="s">
        <v>157</v>
      </c>
      <c r="AE94" s="12">
        <v>0</v>
      </c>
      <c r="AF94" s="12">
        <v>0</v>
      </c>
      <c r="AG94" s="9" t="s">
        <v>375</v>
      </c>
      <c r="AH94" s="12" t="s">
        <v>376</v>
      </c>
      <c r="AI94" s="12">
        <v>0</v>
      </c>
      <c r="AJ94" s="12">
        <v>0</v>
      </c>
    </row>
    <row r="95" spans="1:36" ht="92" x14ac:dyDescent="0.2">
      <c r="A95" s="10" t="s">
        <v>36</v>
      </c>
      <c r="B95" s="10" t="s">
        <v>5</v>
      </c>
      <c r="C95" s="10" t="s">
        <v>8</v>
      </c>
      <c r="D95" s="10">
        <v>4</v>
      </c>
      <c r="E95" s="10">
        <v>4</v>
      </c>
      <c r="F95" s="10">
        <v>4</v>
      </c>
      <c r="G95" s="10" t="s">
        <v>12</v>
      </c>
      <c r="H95" s="10" t="s">
        <v>15</v>
      </c>
      <c r="I95" s="10" t="s">
        <v>226</v>
      </c>
      <c r="J95" s="10">
        <v>3</v>
      </c>
      <c r="K95" s="10" t="s">
        <v>62</v>
      </c>
      <c r="L95" s="10" t="s">
        <v>22</v>
      </c>
      <c r="M95" s="10" t="s">
        <v>12</v>
      </c>
      <c r="N95" s="10" t="s">
        <v>104</v>
      </c>
      <c r="O95" s="10" t="s">
        <v>65</v>
      </c>
      <c r="P95" s="10" t="s">
        <v>66</v>
      </c>
      <c r="Q95" s="10" t="s">
        <v>64</v>
      </c>
      <c r="R95" s="10" t="s">
        <v>69</v>
      </c>
      <c r="S95" s="10" t="s">
        <v>68</v>
      </c>
      <c r="T95" s="10" t="s">
        <v>67</v>
      </c>
      <c r="U95" s="10">
        <v>5</v>
      </c>
      <c r="V95" s="10" t="s">
        <v>26</v>
      </c>
      <c r="W95" s="10">
        <v>2</v>
      </c>
      <c r="X95" s="10" t="s">
        <v>377</v>
      </c>
      <c r="Y95" s="10" t="s">
        <v>236</v>
      </c>
      <c r="Z95" s="10" t="s">
        <v>378</v>
      </c>
      <c r="AA95" s="10" t="s">
        <v>11</v>
      </c>
      <c r="AB95" s="10" t="s">
        <v>12</v>
      </c>
      <c r="AC95" s="10" t="s">
        <v>12</v>
      </c>
      <c r="AD95" s="10" t="s">
        <v>379</v>
      </c>
      <c r="AE95" s="13">
        <v>0</v>
      </c>
      <c r="AF95" s="13">
        <v>0</v>
      </c>
      <c r="AG95" s="13">
        <v>0</v>
      </c>
      <c r="AH95" s="13">
        <v>0</v>
      </c>
      <c r="AI95" s="13">
        <v>0</v>
      </c>
      <c r="AJ95" s="13">
        <v>0</v>
      </c>
    </row>
    <row r="96" spans="1:36" ht="92" x14ac:dyDescent="0.2">
      <c r="A96" s="9" t="s">
        <v>35</v>
      </c>
      <c r="B96" s="12">
        <v>0</v>
      </c>
      <c r="C96" s="12">
        <v>0</v>
      </c>
      <c r="D96" s="9">
        <v>2</v>
      </c>
      <c r="E96" s="9">
        <v>4</v>
      </c>
      <c r="F96" s="9">
        <v>2</v>
      </c>
      <c r="G96" s="9" t="s">
        <v>12</v>
      </c>
      <c r="H96" s="9" t="s">
        <v>15</v>
      </c>
      <c r="I96" s="9" t="s">
        <v>372</v>
      </c>
      <c r="J96" s="9">
        <v>4</v>
      </c>
      <c r="K96" s="9" t="s">
        <v>81</v>
      </c>
      <c r="L96" s="9" t="s">
        <v>20</v>
      </c>
      <c r="M96" s="9" t="s">
        <v>11</v>
      </c>
      <c r="N96" s="12">
        <v>0</v>
      </c>
      <c r="O96" s="9" t="s">
        <v>69</v>
      </c>
      <c r="P96" s="9" t="s">
        <v>66</v>
      </c>
      <c r="Q96" s="9" t="s">
        <v>64</v>
      </c>
      <c r="R96" s="9" t="s">
        <v>65</v>
      </c>
      <c r="S96" s="9" t="s">
        <v>67</v>
      </c>
      <c r="T96" s="9" t="s">
        <v>68</v>
      </c>
      <c r="U96" s="9">
        <v>4</v>
      </c>
      <c r="V96" s="9" t="s">
        <v>27</v>
      </c>
      <c r="W96" s="9">
        <v>1</v>
      </c>
      <c r="X96" s="9" t="s">
        <v>127</v>
      </c>
      <c r="Y96" s="9" t="s">
        <v>286</v>
      </c>
      <c r="Z96" s="9" t="s">
        <v>380</v>
      </c>
      <c r="AA96" s="9" t="s">
        <v>12</v>
      </c>
      <c r="AB96" s="9" t="s">
        <v>12</v>
      </c>
      <c r="AC96" s="9" t="s">
        <v>13</v>
      </c>
      <c r="AD96" s="9" t="s">
        <v>381</v>
      </c>
      <c r="AE96" s="12">
        <v>0</v>
      </c>
      <c r="AF96" s="12">
        <v>0</v>
      </c>
      <c r="AG96" s="12">
        <v>0</v>
      </c>
      <c r="AH96" s="12">
        <v>0</v>
      </c>
      <c r="AI96" s="12">
        <v>0</v>
      </c>
      <c r="AJ96" s="12">
        <v>0</v>
      </c>
    </row>
    <row r="97" spans="1:36" ht="79" x14ac:dyDescent="0.2">
      <c r="A97" s="10" t="s">
        <v>36</v>
      </c>
      <c r="B97" s="10" t="s">
        <v>5</v>
      </c>
      <c r="C97" s="10" t="s">
        <v>8</v>
      </c>
      <c r="D97" s="10">
        <v>4</v>
      </c>
      <c r="E97" s="10">
        <v>4</v>
      </c>
      <c r="F97" s="10">
        <v>4</v>
      </c>
      <c r="G97" s="10" t="s">
        <v>12</v>
      </c>
      <c r="H97" s="10" t="s">
        <v>17</v>
      </c>
      <c r="I97" s="10" t="s">
        <v>182</v>
      </c>
      <c r="J97" s="10">
        <v>4</v>
      </c>
      <c r="K97" s="10" t="s">
        <v>382</v>
      </c>
      <c r="L97" s="10" t="s">
        <v>20</v>
      </c>
      <c r="M97" s="10" t="s">
        <v>12</v>
      </c>
      <c r="N97" s="10" t="s">
        <v>82</v>
      </c>
      <c r="O97" s="10" t="s">
        <v>65</v>
      </c>
      <c r="P97" s="10" t="s">
        <v>64</v>
      </c>
      <c r="Q97" s="10" t="s">
        <v>66</v>
      </c>
      <c r="R97" s="10" t="s">
        <v>67</v>
      </c>
      <c r="S97" s="10" t="s">
        <v>68</v>
      </c>
      <c r="T97" s="10" t="s">
        <v>69</v>
      </c>
      <c r="U97" s="10">
        <v>5</v>
      </c>
      <c r="V97" s="10" t="s">
        <v>26</v>
      </c>
      <c r="W97" s="10">
        <v>2</v>
      </c>
      <c r="X97" s="10" t="s">
        <v>334</v>
      </c>
      <c r="Y97" s="10" t="s">
        <v>238</v>
      </c>
      <c r="Z97" s="10" t="s">
        <v>383</v>
      </c>
      <c r="AA97" s="10" t="s">
        <v>11</v>
      </c>
      <c r="AB97" s="10" t="s">
        <v>12</v>
      </c>
      <c r="AC97" s="10" t="s">
        <v>12</v>
      </c>
      <c r="AD97" s="10" t="s">
        <v>384</v>
      </c>
      <c r="AE97" s="13">
        <v>0</v>
      </c>
      <c r="AF97" s="13">
        <v>0</v>
      </c>
      <c r="AG97" s="10" t="s">
        <v>385</v>
      </c>
      <c r="AH97" s="13">
        <v>0</v>
      </c>
      <c r="AI97" s="13">
        <v>0</v>
      </c>
      <c r="AJ97" s="13">
        <v>0</v>
      </c>
    </row>
    <row r="98" spans="1:36" ht="53" x14ac:dyDescent="0.2">
      <c r="A98" s="9" t="s">
        <v>36</v>
      </c>
      <c r="B98" s="9" t="s">
        <v>5</v>
      </c>
      <c r="C98" s="9" t="s">
        <v>8</v>
      </c>
      <c r="D98" s="9">
        <v>3</v>
      </c>
      <c r="E98" s="9">
        <v>4</v>
      </c>
      <c r="F98" s="9">
        <v>3</v>
      </c>
      <c r="G98" s="9" t="s">
        <v>12</v>
      </c>
      <c r="H98" s="9" t="s">
        <v>17</v>
      </c>
      <c r="I98" s="9" t="s">
        <v>386</v>
      </c>
      <c r="J98" s="9">
        <v>2</v>
      </c>
      <c r="K98" s="9" t="s">
        <v>62</v>
      </c>
      <c r="L98" s="9" t="s">
        <v>21</v>
      </c>
      <c r="M98" s="9" t="s">
        <v>12</v>
      </c>
      <c r="N98" s="9" t="s">
        <v>130</v>
      </c>
      <c r="O98" s="9" t="s">
        <v>65</v>
      </c>
      <c r="P98" s="9" t="s">
        <v>64</v>
      </c>
      <c r="Q98" s="9" t="s">
        <v>67</v>
      </c>
      <c r="R98" s="9" t="s">
        <v>68</v>
      </c>
      <c r="S98" s="9" t="s">
        <v>66</v>
      </c>
      <c r="T98" s="9" t="s">
        <v>69</v>
      </c>
      <c r="U98" s="9">
        <v>5</v>
      </c>
      <c r="V98" s="9" t="s">
        <v>26</v>
      </c>
      <c r="W98" s="9">
        <v>2</v>
      </c>
      <c r="X98" s="9" t="s">
        <v>387</v>
      </c>
      <c r="Y98" s="9" t="s">
        <v>351</v>
      </c>
      <c r="Z98" s="9" t="s">
        <v>308</v>
      </c>
      <c r="AA98" s="9" t="s">
        <v>12</v>
      </c>
      <c r="AB98" s="9" t="s">
        <v>12</v>
      </c>
      <c r="AC98" s="9" t="s">
        <v>12</v>
      </c>
      <c r="AD98" s="9" t="s">
        <v>162</v>
      </c>
      <c r="AE98" s="12">
        <v>0</v>
      </c>
      <c r="AF98" s="12">
        <v>0</v>
      </c>
      <c r="AG98" s="12">
        <v>0</v>
      </c>
      <c r="AH98" s="12">
        <v>0</v>
      </c>
      <c r="AI98" s="12">
        <v>0</v>
      </c>
      <c r="AJ98" s="12">
        <v>0</v>
      </c>
    </row>
    <row r="99" spans="1:36" ht="105" x14ac:dyDescent="0.2">
      <c r="A99" s="10" t="s">
        <v>35</v>
      </c>
      <c r="B99" s="13">
        <v>0</v>
      </c>
      <c r="C99" s="13">
        <v>0</v>
      </c>
      <c r="D99" s="10">
        <v>2</v>
      </c>
      <c r="E99" s="10">
        <v>3</v>
      </c>
      <c r="F99" s="10">
        <v>2</v>
      </c>
      <c r="G99" s="10" t="s">
        <v>11</v>
      </c>
      <c r="H99" s="10" t="s">
        <v>11</v>
      </c>
      <c r="I99" s="13">
        <v>0</v>
      </c>
      <c r="J99" s="10">
        <v>3</v>
      </c>
      <c r="K99" s="10" t="s">
        <v>81</v>
      </c>
      <c r="L99" s="10" t="s">
        <v>20</v>
      </c>
      <c r="M99" s="10" t="s">
        <v>12</v>
      </c>
      <c r="N99" s="10" t="s">
        <v>170</v>
      </c>
      <c r="O99" s="10" t="s">
        <v>68</v>
      </c>
      <c r="P99" s="10" t="s">
        <v>65</v>
      </c>
      <c r="Q99" s="10" t="s">
        <v>66</v>
      </c>
      <c r="R99" s="10" t="s">
        <v>64</v>
      </c>
      <c r="S99" s="10" t="s">
        <v>69</v>
      </c>
      <c r="T99" s="10" t="s">
        <v>67</v>
      </c>
      <c r="U99" s="10">
        <v>5</v>
      </c>
      <c r="V99" s="10" t="s">
        <v>28</v>
      </c>
      <c r="W99" s="10">
        <v>1</v>
      </c>
      <c r="X99" s="10" t="s">
        <v>77</v>
      </c>
      <c r="Y99" s="10" t="s">
        <v>106</v>
      </c>
      <c r="Z99" s="10" t="s">
        <v>388</v>
      </c>
      <c r="AA99" s="10" t="s">
        <v>12</v>
      </c>
      <c r="AB99" s="10" t="s">
        <v>12</v>
      </c>
      <c r="AC99" s="10" t="s">
        <v>12</v>
      </c>
      <c r="AD99" s="10" t="s">
        <v>389</v>
      </c>
      <c r="AE99" s="13">
        <v>0</v>
      </c>
      <c r="AF99" s="13">
        <v>0</v>
      </c>
      <c r="AG99" s="13">
        <v>0</v>
      </c>
      <c r="AH99" s="13">
        <v>0</v>
      </c>
      <c r="AI99" s="13">
        <v>0</v>
      </c>
      <c r="AJ99" s="13">
        <v>0</v>
      </c>
    </row>
    <row r="100" spans="1:36" ht="105" x14ac:dyDescent="0.2">
      <c r="A100" s="9" t="s">
        <v>36</v>
      </c>
      <c r="B100" s="9" t="s">
        <v>5</v>
      </c>
      <c r="C100" s="9" t="s">
        <v>8</v>
      </c>
      <c r="D100" s="9">
        <v>3</v>
      </c>
      <c r="E100" s="9">
        <v>5</v>
      </c>
      <c r="F100" s="9">
        <v>4</v>
      </c>
      <c r="G100" s="9" t="s">
        <v>12</v>
      </c>
      <c r="H100" s="9" t="s">
        <v>15</v>
      </c>
      <c r="I100" s="9" t="s">
        <v>114</v>
      </c>
      <c r="J100" s="9">
        <v>3</v>
      </c>
      <c r="K100" s="9" t="s">
        <v>103</v>
      </c>
      <c r="L100" s="9" t="s">
        <v>21</v>
      </c>
      <c r="M100" s="9" t="s">
        <v>13</v>
      </c>
      <c r="N100" s="9" t="s">
        <v>390</v>
      </c>
      <c r="O100" s="9" t="s">
        <v>68</v>
      </c>
      <c r="P100" s="9" t="s">
        <v>65</v>
      </c>
      <c r="Q100" s="9" t="s">
        <v>64</v>
      </c>
      <c r="R100" s="9" t="s">
        <v>69</v>
      </c>
      <c r="S100" s="9" t="s">
        <v>67</v>
      </c>
      <c r="T100" s="9" t="s">
        <v>66</v>
      </c>
      <c r="U100" s="9">
        <v>5</v>
      </c>
      <c r="V100" s="9" t="s">
        <v>26</v>
      </c>
      <c r="W100" s="9">
        <v>4</v>
      </c>
      <c r="X100" s="9" t="s">
        <v>391</v>
      </c>
      <c r="Y100" s="9" t="s">
        <v>137</v>
      </c>
      <c r="Z100" s="9" t="s">
        <v>392</v>
      </c>
      <c r="AA100" s="9" t="s">
        <v>11</v>
      </c>
      <c r="AB100" s="9" t="s">
        <v>12</v>
      </c>
      <c r="AC100" s="9" t="s">
        <v>12</v>
      </c>
      <c r="AD100" s="9" t="s">
        <v>393</v>
      </c>
      <c r="AE100" s="9">
        <v>0</v>
      </c>
      <c r="AF100" s="9">
        <v>0</v>
      </c>
      <c r="AG100" s="9" t="s">
        <v>394</v>
      </c>
      <c r="AH100" s="9" t="s">
        <v>395</v>
      </c>
      <c r="AI100" s="9">
        <v>0</v>
      </c>
      <c r="AJ100" s="9">
        <v>0</v>
      </c>
    </row>
    <row r="101" spans="1:36" ht="79" x14ac:dyDescent="0.2">
      <c r="A101" s="10" t="s">
        <v>36</v>
      </c>
      <c r="B101" s="10" t="s">
        <v>5</v>
      </c>
      <c r="C101" s="10" t="s">
        <v>8</v>
      </c>
      <c r="D101" s="10">
        <v>2</v>
      </c>
      <c r="E101" s="10">
        <v>3</v>
      </c>
      <c r="F101" s="10">
        <v>3</v>
      </c>
      <c r="G101" s="10" t="s">
        <v>12</v>
      </c>
      <c r="H101" s="10" t="s">
        <v>15</v>
      </c>
      <c r="I101" s="10" t="s">
        <v>76</v>
      </c>
      <c r="J101" s="10">
        <v>3</v>
      </c>
      <c r="K101" s="10" t="s">
        <v>103</v>
      </c>
      <c r="L101" s="10" t="s">
        <v>22</v>
      </c>
      <c r="M101" s="10" t="s">
        <v>13</v>
      </c>
      <c r="N101" s="10" t="s">
        <v>120</v>
      </c>
      <c r="O101" s="10" t="s">
        <v>65</v>
      </c>
      <c r="P101" s="10" t="s">
        <v>64</v>
      </c>
      <c r="Q101" s="10" t="s">
        <v>66</v>
      </c>
      <c r="R101" s="10" t="s">
        <v>67</v>
      </c>
      <c r="S101" s="10" t="s">
        <v>68</v>
      </c>
      <c r="T101" s="10" t="s">
        <v>69</v>
      </c>
      <c r="U101" s="10">
        <v>3</v>
      </c>
      <c r="V101" s="10" t="s">
        <v>26</v>
      </c>
      <c r="W101" s="10">
        <v>1</v>
      </c>
      <c r="X101" s="10" t="s">
        <v>266</v>
      </c>
      <c r="Y101" s="10" t="s">
        <v>252</v>
      </c>
      <c r="Z101" s="10" t="s">
        <v>396</v>
      </c>
      <c r="AA101" s="10" t="s">
        <v>13</v>
      </c>
      <c r="AB101" s="10" t="s">
        <v>12</v>
      </c>
      <c r="AC101" s="10" t="s">
        <v>12</v>
      </c>
      <c r="AD101" s="10" t="s">
        <v>250</v>
      </c>
      <c r="AE101" s="13">
        <v>0</v>
      </c>
      <c r="AF101" s="13">
        <v>0</v>
      </c>
      <c r="AG101" s="13">
        <v>0</v>
      </c>
      <c r="AH101" s="13">
        <v>0</v>
      </c>
      <c r="AI101" s="13">
        <v>0</v>
      </c>
      <c r="AJ101" s="13">
        <v>0</v>
      </c>
    </row>
    <row r="102" spans="1:36" ht="79" x14ac:dyDescent="0.2">
      <c r="A102" s="9" t="s">
        <v>36</v>
      </c>
      <c r="B102" s="9" t="s">
        <v>5</v>
      </c>
      <c r="C102" s="9" t="s">
        <v>8</v>
      </c>
      <c r="D102" s="9">
        <v>4</v>
      </c>
      <c r="E102" s="9">
        <v>5</v>
      </c>
      <c r="F102" s="9">
        <v>5</v>
      </c>
      <c r="G102" s="9" t="s">
        <v>12</v>
      </c>
      <c r="H102" s="9" t="s">
        <v>17</v>
      </c>
      <c r="I102" s="9" t="s">
        <v>397</v>
      </c>
      <c r="J102" s="9">
        <v>4</v>
      </c>
      <c r="K102" s="9" t="s">
        <v>81</v>
      </c>
      <c r="L102" s="9" t="s">
        <v>20</v>
      </c>
      <c r="M102" s="9" t="s">
        <v>11</v>
      </c>
      <c r="N102" s="12">
        <v>0</v>
      </c>
      <c r="O102" s="9" t="s">
        <v>65</v>
      </c>
      <c r="P102" s="9" t="s">
        <v>68</v>
      </c>
      <c r="Q102" s="9" t="s">
        <v>64</v>
      </c>
      <c r="R102" s="9" t="s">
        <v>398</v>
      </c>
      <c r="S102" s="9" t="s">
        <v>68</v>
      </c>
      <c r="T102" s="9" t="s">
        <v>68</v>
      </c>
      <c r="U102" s="9">
        <v>5</v>
      </c>
      <c r="V102" s="9" t="s">
        <v>26</v>
      </c>
      <c r="W102" s="9">
        <v>3</v>
      </c>
      <c r="X102" s="9" t="s">
        <v>70</v>
      </c>
      <c r="Y102" s="9" t="s">
        <v>270</v>
      </c>
      <c r="Z102" s="9" t="s">
        <v>352</v>
      </c>
      <c r="AA102" s="9" t="s">
        <v>11</v>
      </c>
      <c r="AB102" s="9" t="s">
        <v>12</v>
      </c>
      <c r="AC102" s="9" t="s">
        <v>12</v>
      </c>
      <c r="AD102" s="9" t="s">
        <v>263</v>
      </c>
      <c r="AE102" s="12">
        <v>0</v>
      </c>
      <c r="AF102" s="12">
        <v>0</v>
      </c>
      <c r="AG102" s="12">
        <v>0</v>
      </c>
      <c r="AH102" s="12">
        <v>0</v>
      </c>
      <c r="AI102" s="12">
        <v>0</v>
      </c>
      <c r="AJ102" s="12">
        <v>0</v>
      </c>
    </row>
    <row r="103" spans="1:36" ht="40" x14ac:dyDescent="0.2">
      <c r="A103" s="10" t="s">
        <v>35</v>
      </c>
      <c r="B103" s="13">
        <v>0</v>
      </c>
      <c r="C103" s="13">
        <v>0</v>
      </c>
      <c r="D103" s="10">
        <v>2</v>
      </c>
      <c r="E103" s="10">
        <v>5</v>
      </c>
      <c r="F103" s="10">
        <v>1</v>
      </c>
      <c r="G103" s="10" t="s">
        <v>11</v>
      </c>
      <c r="H103" s="10" t="s">
        <v>15</v>
      </c>
      <c r="I103" s="10" t="s">
        <v>87</v>
      </c>
      <c r="J103" s="10">
        <v>4</v>
      </c>
      <c r="K103" s="10" t="s">
        <v>103</v>
      </c>
      <c r="L103" s="10" t="s">
        <v>20</v>
      </c>
      <c r="M103" s="10" t="s">
        <v>13</v>
      </c>
      <c r="N103" s="13">
        <v>0</v>
      </c>
      <c r="O103" s="10" t="s">
        <v>69</v>
      </c>
      <c r="P103" s="10" t="s">
        <v>68</v>
      </c>
      <c r="Q103" s="10" t="s">
        <v>67</v>
      </c>
      <c r="R103" s="10" t="s">
        <v>65</v>
      </c>
      <c r="S103" s="10" t="s">
        <v>64</v>
      </c>
      <c r="T103" s="10" t="s">
        <v>66</v>
      </c>
      <c r="U103" s="10">
        <v>4</v>
      </c>
      <c r="V103" s="10" t="s">
        <v>28</v>
      </c>
      <c r="W103" s="10">
        <v>3</v>
      </c>
      <c r="X103" s="10" t="s">
        <v>399</v>
      </c>
      <c r="Y103" s="10" t="s">
        <v>193</v>
      </c>
      <c r="Z103" s="10" t="s">
        <v>400</v>
      </c>
      <c r="AA103" s="10" t="s">
        <v>11</v>
      </c>
      <c r="AB103" s="10" t="s">
        <v>11</v>
      </c>
      <c r="AC103" s="10" t="s">
        <v>12</v>
      </c>
      <c r="AD103" s="10" t="s">
        <v>401</v>
      </c>
      <c r="AE103" s="13">
        <v>0</v>
      </c>
      <c r="AF103" s="13">
        <v>0</v>
      </c>
      <c r="AG103" s="13">
        <v>0</v>
      </c>
      <c r="AH103" s="13">
        <v>0</v>
      </c>
      <c r="AI103" s="13">
        <v>0</v>
      </c>
      <c r="AJ103" s="13">
        <v>0</v>
      </c>
    </row>
    <row r="104" spans="1:36" ht="79" x14ac:dyDescent="0.2">
      <c r="A104" s="9" t="s">
        <v>36</v>
      </c>
      <c r="B104" s="9" t="s">
        <v>5</v>
      </c>
      <c r="C104" s="9" t="s">
        <v>8</v>
      </c>
      <c r="D104" s="9">
        <v>2</v>
      </c>
      <c r="E104" s="9">
        <v>5</v>
      </c>
      <c r="F104" s="9">
        <v>4</v>
      </c>
      <c r="G104" s="9" t="s">
        <v>12</v>
      </c>
      <c r="H104" s="9" t="s">
        <v>17</v>
      </c>
      <c r="I104" s="9" t="s">
        <v>402</v>
      </c>
      <c r="J104" s="9">
        <v>3</v>
      </c>
      <c r="K104" s="9" t="s">
        <v>62</v>
      </c>
      <c r="L104" s="9" t="s">
        <v>21</v>
      </c>
      <c r="M104" s="9" t="s">
        <v>12</v>
      </c>
      <c r="N104" s="9" t="s">
        <v>104</v>
      </c>
      <c r="O104" s="9" t="s">
        <v>68</v>
      </c>
      <c r="P104" s="9" t="s">
        <v>68</v>
      </c>
      <c r="Q104" s="9" t="s">
        <v>68</v>
      </c>
      <c r="R104" s="9" t="s">
        <v>68</v>
      </c>
      <c r="S104" s="9" t="s">
        <v>68</v>
      </c>
      <c r="T104" s="9" t="s">
        <v>68</v>
      </c>
      <c r="U104" s="9">
        <v>5</v>
      </c>
      <c r="V104" s="9" t="s">
        <v>26</v>
      </c>
      <c r="W104" s="9">
        <v>1</v>
      </c>
      <c r="X104" s="9" t="s">
        <v>276</v>
      </c>
      <c r="Y104" s="9" t="s">
        <v>183</v>
      </c>
      <c r="Z104" s="9" t="s">
        <v>156</v>
      </c>
      <c r="AA104" s="9" t="s">
        <v>13</v>
      </c>
      <c r="AB104" s="9" t="s">
        <v>12</v>
      </c>
      <c r="AC104" s="9" t="s">
        <v>12</v>
      </c>
      <c r="AD104" s="9" t="s">
        <v>93</v>
      </c>
      <c r="AE104" s="12">
        <v>0</v>
      </c>
      <c r="AF104" s="12">
        <v>0</v>
      </c>
      <c r="AG104" s="9" t="s">
        <v>403</v>
      </c>
      <c r="AH104" s="12" t="s">
        <v>404</v>
      </c>
      <c r="AI104" s="12">
        <v>0</v>
      </c>
      <c r="AJ104" s="12">
        <v>0</v>
      </c>
    </row>
    <row r="105" spans="1:36" ht="66" x14ac:dyDescent="0.2">
      <c r="A105" s="10" t="s">
        <v>36</v>
      </c>
      <c r="B105" s="10" t="s">
        <v>4</v>
      </c>
      <c r="C105" s="10" t="s">
        <v>7</v>
      </c>
      <c r="D105" s="10">
        <v>3</v>
      </c>
      <c r="E105" s="10">
        <v>5</v>
      </c>
      <c r="F105" s="10">
        <v>2</v>
      </c>
      <c r="G105" s="10" t="s">
        <v>11</v>
      </c>
      <c r="H105" s="10" t="s">
        <v>16</v>
      </c>
      <c r="I105" s="10" t="s">
        <v>94</v>
      </c>
      <c r="J105" s="10">
        <v>3</v>
      </c>
      <c r="K105" s="10" t="s">
        <v>81</v>
      </c>
      <c r="L105" s="10" t="s">
        <v>21</v>
      </c>
      <c r="M105" s="10" t="s">
        <v>12</v>
      </c>
      <c r="N105" s="10" t="s">
        <v>405</v>
      </c>
      <c r="O105" s="10" t="s">
        <v>68</v>
      </c>
      <c r="P105" s="10" t="s">
        <v>65</v>
      </c>
      <c r="Q105" s="10" t="s">
        <v>66</v>
      </c>
      <c r="R105" s="10" t="s">
        <v>64</v>
      </c>
      <c r="S105" s="10" t="s">
        <v>67</v>
      </c>
      <c r="T105" s="10" t="s">
        <v>69</v>
      </c>
      <c r="U105" s="10">
        <v>5</v>
      </c>
      <c r="V105" s="10" t="s">
        <v>26</v>
      </c>
      <c r="W105" s="10">
        <v>2</v>
      </c>
      <c r="X105" s="10" t="s">
        <v>116</v>
      </c>
      <c r="Y105" s="10" t="s">
        <v>191</v>
      </c>
      <c r="Z105" s="10" t="s">
        <v>406</v>
      </c>
      <c r="AA105" s="10" t="s">
        <v>12</v>
      </c>
      <c r="AB105" s="10" t="s">
        <v>12</v>
      </c>
      <c r="AC105" s="10" t="s">
        <v>12</v>
      </c>
      <c r="AD105" s="10" t="s">
        <v>86</v>
      </c>
      <c r="AE105" s="13">
        <v>0</v>
      </c>
      <c r="AF105" s="13">
        <v>0</v>
      </c>
      <c r="AG105" s="13">
        <v>0</v>
      </c>
      <c r="AH105" s="13">
        <v>0</v>
      </c>
      <c r="AI105" s="13">
        <v>0</v>
      </c>
      <c r="AJ105" s="13">
        <v>0</v>
      </c>
    </row>
    <row r="106" spans="1:36" ht="92" x14ac:dyDescent="0.2">
      <c r="A106" s="9" t="s">
        <v>35</v>
      </c>
      <c r="B106" s="12">
        <v>0</v>
      </c>
      <c r="C106" s="12">
        <v>0</v>
      </c>
      <c r="D106" s="9">
        <v>3</v>
      </c>
      <c r="E106" s="9">
        <v>4</v>
      </c>
      <c r="F106" s="9">
        <v>2</v>
      </c>
      <c r="G106" s="9" t="s">
        <v>13</v>
      </c>
      <c r="H106" s="9" t="s">
        <v>11</v>
      </c>
      <c r="I106" s="12">
        <v>0</v>
      </c>
      <c r="J106" s="9">
        <v>3</v>
      </c>
      <c r="K106" s="9" t="s">
        <v>103</v>
      </c>
      <c r="L106" s="9" t="s">
        <v>22</v>
      </c>
      <c r="M106" s="9" t="s">
        <v>13</v>
      </c>
      <c r="N106" s="12">
        <v>0</v>
      </c>
      <c r="O106" s="9" t="s">
        <v>66</v>
      </c>
      <c r="P106" s="9" t="s">
        <v>68</v>
      </c>
      <c r="Q106" s="9" t="s">
        <v>64</v>
      </c>
      <c r="R106" s="9" t="s">
        <v>65</v>
      </c>
      <c r="S106" s="9" t="s">
        <v>67</v>
      </c>
      <c r="T106" s="9" t="s">
        <v>69</v>
      </c>
      <c r="U106" s="9">
        <v>5</v>
      </c>
      <c r="V106" s="9" t="s">
        <v>26</v>
      </c>
      <c r="W106" s="9">
        <v>4</v>
      </c>
      <c r="X106" s="9" t="s">
        <v>407</v>
      </c>
      <c r="Y106" s="9" t="s">
        <v>242</v>
      </c>
      <c r="Z106" s="9" t="s">
        <v>408</v>
      </c>
      <c r="AA106" s="9" t="s">
        <v>12</v>
      </c>
      <c r="AB106" s="9" t="s">
        <v>12</v>
      </c>
      <c r="AC106" s="9" t="s">
        <v>12</v>
      </c>
      <c r="AD106" s="9" t="s">
        <v>118</v>
      </c>
      <c r="AE106" s="12">
        <v>0</v>
      </c>
      <c r="AF106" s="12">
        <v>0</v>
      </c>
      <c r="AG106" s="12">
        <v>0</v>
      </c>
      <c r="AH106" s="12">
        <v>0</v>
      </c>
      <c r="AI106" s="12">
        <v>0</v>
      </c>
      <c r="AJ106" s="12">
        <v>0</v>
      </c>
    </row>
    <row r="107" spans="1:36" ht="92" x14ac:dyDescent="0.2">
      <c r="A107" s="10" t="s">
        <v>36</v>
      </c>
      <c r="B107" s="10" t="s">
        <v>5</v>
      </c>
      <c r="C107" s="10" t="s">
        <v>7</v>
      </c>
      <c r="D107" s="10">
        <v>4</v>
      </c>
      <c r="E107" s="10">
        <v>4</v>
      </c>
      <c r="F107" s="10">
        <v>3</v>
      </c>
      <c r="G107" s="10" t="s">
        <v>11</v>
      </c>
      <c r="H107" s="10" t="s">
        <v>11</v>
      </c>
      <c r="I107" s="13">
        <v>0</v>
      </c>
      <c r="J107" s="10">
        <v>5</v>
      </c>
      <c r="K107" s="10" t="s">
        <v>88</v>
      </c>
      <c r="L107" s="10" t="s">
        <v>21</v>
      </c>
      <c r="M107" s="10" t="s">
        <v>12</v>
      </c>
      <c r="N107" s="10" t="s">
        <v>405</v>
      </c>
      <c r="O107" s="10" t="s">
        <v>66</v>
      </c>
      <c r="P107" s="10" t="s">
        <v>64</v>
      </c>
      <c r="Q107" s="10" t="s">
        <v>65</v>
      </c>
      <c r="R107" s="10" t="s">
        <v>67</v>
      </c>
      <c r="S107" s="10" t="s">
        <v>69</v>
      </c>
      <c r="T107" s="10" t="s">
        <v>68</v>
      </c>
      <c r="U107" s="10">
        <v>4</v>
      </c>
      <c r="V107" s="10" t="s">
        <v>26</v>
      </c>
      <c r="W107" s="10">
        <v>1</v>
      </c>
      <c r="X107" s="10" t="s">
        <v>136</v>
      </c>
      <c r="Y107" s="10" t="s">
        <v>409</v>
      </c>
      <c r="Z107" s="10" t="s">
        <v>410</v>
      </c>
      <c r="AA107" s="10" t="s">
        <v>12</v>
      </c>
      <c r="AB107" s="10" t="s">
        <v>12</v>
      </c>
      <c r="AC107" s="10" t="s">
        <v>12</v>
      </c>
      <c r="AD107" s="10" t="s">
        <v>263</v>
      </c>
      <c r="AE107" s="13">
        <v>0</v>
      </c>
      <c r="AF107" s="13">
        <v>0</v>
      </c>
      <c r="AG107" s="10" t="s">
        <v>411</v>
      </c>
      <c r="AH107" s="13" t="s">
        <v>325</v>
      </c>
      <c r="AI107" s="13">
        <v>0</v>
      </c>
      <c r="AJ107" s="13">
        <v>0</v>
      </c>
    </row>
    <row r="108" spans="1:36" ht="79" x14ac:dyDescent="0.2">
      <c r="A108" s="9" t="s">
        <v>36</v>
      </c>
      <c r="B108" s="9" t="s">
        <v>5</v>
      </c>
      <c r="C108" s="9" t="s">
        <v>8</v>
      </c>
      <c r="D108" s="9">
        <v>3</v>
      </c>
      <c r="E108" s="9">
        <v>3</v>
      </c>
      <c r="F108" s="9">
        <v>3</v>
      </c>
      <c r="G108" s="9" t="s">
        <v>12</v>
      </c>
      <c r="H108" s="9" t="s">
        <v>15</v>
      </c>
      <c r="I108" s="9" t="s">
        <v>343</v>
      </c>
      <c r="J108" s="9">
        <v>3</v>
      </c>
      <c r="K108" s="9" t="s">
        <v>103</v>
      </c>
      <c r="L108" s="9" t="s">
        <v>21</v>
      </c>
      <c r="M108" s="9" t="s">
        <v>11</v>
      </c>
      <c r="N108" s="12">
        <v>0</v>
      </c>
      <c r="O108" s="9" t="s">
        <v>66</v>
      </c>
      <c r="P108" s="9" t="s">
        <v>65</v>
      </c>
      <c r="Q108" s="9" t="s">
        <v>68</v>
      </c>
      <c r="R108" s="9" t="s">
        <v>64</v>
      </c>
      <c r="S108" s="9" t="s">
        <v>67</v>
      </c>
      <c r="T108" s="9" t="s">
        <v>69</v>
      </c>
      <c r="U108" s="9">
        <v>4</v>
      </c>
      <c r="V108" s="9" t="s">
        <v>26</v>
      </c>
      <c r="W108" s="9">
        <v>3</v>
      </c>
      <c r="X108" s="9" t="s">
        <v>412</v>
      </c>
      <c r="Y108" s="9" t="s">
        <v>413</v>
      </c>
      <c r="Z108" s="9" t="s">
        <v>85</v>
      </c>
      <c r="AA108" s="9" t="s">
        <v>11</v>
      </c>
      <c r="AB108" s="9" t="s">
        <v>12</v>
      </c>
      <c r="AC108" s="9" t="s">
        <v>12</v>
      </c>
      <c r="AD108" s="9" t="s">
        <v>151</v>
      </c>
      <c r="AE108" s="12">
        <v>0</v>
      </c>
      <c r="AF108" s="9">
        <v>0</v>
      </c>
      <c r="AG108" s="12">
        <v>0</v>
      </c>
      <c r="AH108" s="9"/>
      <c r="AI108" s="9" t="s">
        <v>414</v>
      </c>
      <c r="AJ108" s="9" t="s">
        <v>415</v>
      </c>
    </row>
    <row r="109" spans="1:36" ht="66" x14ac:dyDescent="0.2">
      <c r="A109" s="10" t="s">
        <v>35</v>
      </c>
      <c r="B109" s="13">
        <v>0</v>
      </c>
      <c r="C109" s="13">
        <v>0</v>
      </c>
      <c r="D109" s="10">
        <v>2</v>
      </c>
      <c r="E109" s="10">
        <v>3</v>
      </c>
      <c r="F109" s="10">
        <v>2</v>
      </c>
      <c r="G109" s="10" t="s">
        <v>12</v>
      </c>
      <c r="H109" s="10" t="s">
        <v>15</v>
      </c>
      <c r="I109" s="10" t="s">
        <v>99</v>
      </c>
      <c r="J109" s="10">
        <v>3</v>
      </c>
      <c r="K109" s="10" t="s">
        <v>81</v>
      </c>
      <c r="L109" s="10" t="s">
        <v>21</v>
      </c>
      <c r="M109" s="10" t="s">
        <v>12</v>
      </c>
      <c r="N109" s="10" t="s">
        <v>135</v>
      </c>
      <c r="O109" s="10" t="s">
        <v>64</v>
      </c>
      <c r="P109" s="10" t="s">
        <v>66</v>
      </c>
      <c r="Q109" s="10" t="s">
        <v>69</v>
      </c>
      <c r="R109" s="10" t="s">
        <v>68</v>
      </c>
      <c r="S109" s="10" t="s">
        <v>65</v>
      </c>
      <c r="T109" s="10" t="s">
        <v>67</v>
      </c>
      <c r="U109" s="10">
        <v>3</v>
      </c>
      <c r="V109" s="10" t="s">
        <v>27</v>
      </c>
      <c r="W109" s="10">
        <v>2</v>
      </c>
      <c r="X109" s="10" t="s">
        <v>387</v>
      </c>
      <c r="Y109" s="10" t="s">
        <v>362</v>
      </c>
      <c r="Z109" s="10" t="s">
        <v>188</v>
      </c>
      <c r="AA109" s="10" t="s">
        <v>12</v>
      </c>
      <c r="AB109" s="10" t="s">
        <v>12</v>
      </c>
      <c r="AC109" s="10" t="s">
        <v>12</v>
      </c>
      <c r="AD109" s="10" t="s">
        <v>246</v>
      </c>
      <c r="AE109" s="13">
        <v>0</v>
      </c>
      <c r="AF109" s="13">
        <v>0</v>
      </c>
      <c r="AG109" s="13">
        <v>0</v>
      </c>
      <c r="AH109" s="13">
        <v>0</v>
      </c>
      <c r="AI109" s="13">
        <v>0</v>
      </c>
      <c r="AJ109" s="13">
        <v>0</v>
      </c>
    </row>
    <row r="110" spans="1:36" ht="118" x14ac:dyDescent="0.2">
      <c r="A110" s="9" t="s">
        <v>35</v>
      </c>
      <c r="B110" s="12">
        <v>0</v>
      </c>
      <c r="C110" s="12">
        <v>0</v>
      </c>
      <c r="D110" s="9">
        <v>2</v>
      </c>
      <c r="E110" s="9">
        <v>4</v>
      </c>
      <c r="F110" s="9">
        <v>2</v>
      </c>
      <c r="G110" s="9" t="s">
        <v>13</v>
      </c>
      <c r="H110" s="9" t="s">
        <v>11</v>
      </c>
      <c r="I110" s="12">
        <v>0</v>
      </c>
      <c r="J110" s="9">
        <v>2</v>
      </c>
      <c r="K110" s="9" t="s">
        <v>88</v>
      </c>
      <c r="L110" s="9">
        <v>0</v>
      </c>
      <c r="M110" s="9" t="s">
        <v>12</v>
      </c>
      <c r="N110" s="9" t="s">
        <v>120</v>
      </c>
      <c r="O110" s="9" t="s">
        <v>416</v>
      </c>
      <c r="P110" s="9" t="s">
        <v>416</v>
      </c>
      <c r="Q110" s="9" t="s">
        <v>416</v>
      </c>
      <c r="R110" s="9" t="s">
        <v>416</v>
      </c>
      <c r="S110" s="9" t="s">
        <v>68</v>
      </c>
      <c r="T110" s="9" t="s">
        <v>69</v>
      </c>
      <c r="U110" s="9">
        <v>5</v>
      </c>
      <c r="V110" s="9" t="s">
        <v>26</v>
      </c>
      <c r="W110" s="9">
        <v>1</v>
      </c>
      <c r="X110" s="9" t="s">
        <v>340</v>
      </c>
      <c r="Y110" s="9" t="s">
        <v>351</v>
      </c>
      <c r="Z110" s="9" t="s">
        <v>417</v>
      </c>
      <c r="AA110" s="9" t="s">
        <v>11</v>
      </c>
      <c r="AB110" s="9" t="s">
        <v>12</v>
      </c>
      <c r="AC110" s="9" t="s">
        <v>12</v>
      </c>
      <c r="AD110" s="9" t="s">
        <v>418</v>
      </c>
      <c r="AE110" s="12">
        <v>0</v>
      </c>
      <c r="AF110" s="12">
        <v>0</v>
      </c>
      <c r="AG110" s="12">
        <v>0</v>
      </c>
      <c r="AH110" s="12">
        <v>0</v>
      </c>
      <c r="AI110" s="12">
        <v>0</v>
      </c>
      <c r="AJ110" s="12">
        <v>0</v>
      </c>
    </row>
    <row r="111" spans="1:36" ht="79" x14ac:dyDescent="0.2">
      <c r="A111" s="10" t="s">
        <v>36</v>
      </c>
      <c r="B111" s="10" t="s">
        <v>4</v>
      </c>
      <c r="C111" s="10" t="s">
        <v>7</v>
      </c>
      <c r="D111" s="10">
        <v>4</v>
      </c>
      <c r="E111" s="10">
        <v>4</v>
      </c>
      <c r="F111" s="10">
        <v>5</v>
      </c>
      <c r="G111" s="10" t="s">
        <v>11</v>
      </c>
      <c r="H111" s="10" t="s">
        <v>17</v>
      </c>
      <c r="I111" s="10" t="s">
        <v>419</v>
      </c>
      <c r="J111" s="10">
        <v>4</v>
      </c>
      <c r="K111" s="10" t="s">
        <v>88</v>
      </c>
      <c r="L111" s="10" t="s">
        <v>21</v>
      </c>
      <c r="M111" s="10" t="s">
        <v>11</v>
      </c>
      <c r="N111" s="13">
        <v>0</v>
      </c>
      <c r="O111" s="10" t="s">
        <v>68</v>
      </c>
      <c r="P111" s="10" t="s">
        <v>65</v>
      </c>
      <c r="Q111" s="10" t="s">
        <v>64</v>
      </c>
      <c r="R111" s="10" t="s">
        <v>67</v>
      </c>
      <c r="S111" s="10" t="s">
        <v>66</v>
      </c>
      <c r="T111" s="10" t="s">
        <v>69</v>
      </c>
      <c r="U111" s="10">
        <v>5</v>
      </c>
      <c r="V111" s="10" t="s">
        <v>26</v>
      </c>
      <c r="W111" s="10">
        <v>2</v>
      </c>
      <c r="X111" s="10" t="s">
        <v>420</v>
      </c>
      <c r="Y111" s="10" t="s">
        <v>215</v>
      </c>
      <c r="Z111" s="10" t="s">
        <v>421</v>
      </c>
      <c r="AA111" s="10" t="s">
        <v>11</v>
      </c>
      <c r="AB111" s="10" t="s">
        <v>12</v>
      </c>
      <c r="AC111" s="10" t="s">
        <v>12</v>
      </c>
      <c r="AD111" s="10" t="s">
        <v>263</v>
      </c>
      <c r="AE111" s="13">
        <v>0</v>
      </c>
      <c r="AF111" s="13">
        <v>0</v>
      </c>
      <c r="AG111" s="13">
        <v>0</v>
      </c>
      <c r="AH111" s="13">
        <v>0</v>
      </c>
      <c r="AI111" s="13">
        <v>0</v>
      </c>
      <c r="AJ111" s="13">
        <v>0</v>
      </c>
    </row>
    <row r="112" spans="1:36" ht="40" x14ac:dyDescent="0.2">
      <c r="A112" s="9" t="s">
        <v>36</v>
      </c>
      <c r="B112" s="9" t="s">
        <v>5</v>
      </c>
      <c r="C112" s="9" t="s">
        <v>7</v>
      </c>
      <c r="D112" s="9">
        <v>3</v>
      </c>
      <c r="E112" s="9">
        <v>5</v>
      </c>
      <c r="F112" s="9">
        <v>3</v>
      </c>
      <c r="G112" s="9" t="s">
        <v>12</v>
      </c>
      <c r="H112" s="9" t="s">
        <v>16</v>
      </c>
      <c r="I112" s="9" t="s">
        <v>94</v>
      </c>
      <c r="J112" s="9">
        <v>5</v>
      </c>
      <c r="K112" s="9" t="s">
        <v>88</v>
      </c>
      <c r="L112" s="9" t="s">
        <v>22</v>
      </c>
      <c r="M112" s="9" t="s">
        <v>11</v>
      </c>
      <c r="N112" s="12">
        <v>0</v>
      </c>
      <c r="O112" s="9" t="s">
        <v>68</v>
      </c>
      <c r="P112" s="9" t="s">
        <v>65</v>
      </c>
      <c r="Q112" s="9" t="s">
        <v>66</v>
      </c>
      <c r="R112" s="9" t="s">
        <v>67</v>
      </c>
      <c r="S112" s="9" t="s">
        <v>64</v>
      </c>
      <c r="T112" s="9" t="s">
        <v>69</v>
      </c>
      <c r="U112" s="9">
        <v>4</v>
      </c>
      <c r="V112" s="9" t="s">
        <v>26</v>
      </c>
      <c r="W112" s="9">
        <v>2</v>
      </c>
      <c r="X112" s="9" t="s">
        <v>292</v>
      </c>
      <c r="Y112" s="9" t="s">
        <v>187</v>
      </c>
      <c r="Z112" s="9" t="s">
        <v>422</v>
      </c>
      <c r="AA112" s="9" t="s">
        <v>11</v>
      </c>
      <c r="AB112" s="9" t="s">
        <v>12</v>
      </c>
      <c r="AC112" s="9" t="s">
        <v>12</v>
      </c>
      <c r="AD112" s="9" t="s">
        <v>263</v>
      </c>
      <c r="AE112" s="12">
        <v>0</v>
      </c>
      <c r="AF112" s="12">
        <v>0</v>
      </c>
      <c r="AG112" s="12">
        <v>0</v>
      </c>
      <c r="AH112" s="12">
        <v>0</v>
      </c>
      <c r="AI112" s="12">
        <v>0</v>
      </c>
      <c r="AJ112" s="12">
        <v>0</v>
      </c>
    </row>
    <row r="113" spans="1:36" ht="53" x14ac:dyDescent="0.2">
      <c r="A113" s="10" t="s">
        <v>36</v>
      </c>
      <c r="B113" s="10" t="s">
        <v>4</v>
      </c>
      <c r="C113" s="10" t="s">
        <v>7</v>
      </c>
      <c r="D113" s="10">
        <v>2</v>
      </c>
      <c r="E113" s="10">
        <v>4</v>
      </c>
      <c r="F113" s="10">
        <v>2</v>
      </c>
      <c r="G113" s="10" t="s">
        <v>11</v>
      </c>
      <c r="H113" s="10" t="s">
        <v>11</v>
      </c>
      <c r="I113" s="13">
        <v>0</v>
      </c>
      <c r="J113" s="10">
        <v>3</v>
      </c>
      <c r="K113" s="10" t="s">
        <v>81</v>
      </c>
      <c r="L113" s="10" t="s">
        <v>20</v>
      </c>
      <c r="M113" s="10" t="s">
        <v>13</v>
      </c>
      <c r="N113" s="13">
        <v>0</v>
      </c>
      <c r="O113" s="10" t="s">
        <v>65</v>
      </c>
      <c r="P113" s="10" t="s">
        <v>67</v>
      </c>
      <c r="Q113" s="10" t="s">
        <v>69</v>
      </c>
      <c r="R113" s="10" t="s">
        <v>68</v>
      </c>
      <c r="S113" s="10" t="s">
        <v>66</v>
      </c>
      <c r="T113" s="10" t="s">
        <v>64</v>
      </c>
      <c r="U113" s="10">
        <v>5</v>
      </c>
      <c r="V113" s="10" t="s">
        <v>26</v>
      </c>
      <c r="W113" s="10">
        <v>1</v>
      </c>
      <c r="X113" s="10" t="s">
        <v>377</v>
      </c>
      <c r="Y113" s="10" t="s">
        <v>117</v>
      </c>
      <c r="Z113" s="10" t="s">
        <v>422</v>
      </c>
      <c r="AA113" s="10" t="s">
        <v>11</v>
      </c>
      <c r="AB113" s="10" t="s">
        <v>12</v>
      </c>
      <c r="AC113" s="10" t="s">
        <v>12</v>
      </c>
      <c r="AD113" s="10" t="s">
        <v>73</v>
      </c>
      <c r="AE113" s="13">
        <v>0</v>
      </c>
      <c r="AF113" s="13">
        <v>0</v>
      </c>
      <c r="AG113" s="13">
        <v>0</v>
      </c>
      <c r="AH113" s="13">
        <v>0</v>
      </c>
      <c r="AI113" s="13">
        <v>0</v>
      </c>
      <c r="AJ113" s="13">
        <v>0</v>
      </c>
    </row>
    <row r="114" spans="1:36" ht="40" x14ac:dyDescent="0.2">
      <c r="A114" s="9" t="s">
        <v>36</v>
      </c>
      <c r="B114" s="9" t="s">
        <v>5</v>
      </c>
      <c r="C114" s="9" t="s">
        <v>8</v>
      </c>
      <c r="D114" s="9">
        <v>2</v>
      </c>
      <c r="E114" s="9">
        <v>2</v>
      </c>
      <c r="F114" s="9">
        <v>2</v>
      </c>
      <c r="G114" s="9" t="s">
        <v>12</v>
      </c>
      <c r="H114" s="9" t="s">
        <v>17</v>
      </c>
      <c r="I114" s="9" t="s">
        <v>94</v>
      </c>
      <c r="J114" s="9">
        <v>2</v>
      </c>
      <c r="K114" s="9" t="s">
        <v>62</v>
      </c>
      <c r="L114" s="9" t="s">
        <v>21</v>
      </c>
      <c r="M114" s="9" t="s">
        <v>11</v>
      </c>
      <c r="N114" s="12">
        <v>0</v>
      </c>
      <c r="O114" s="9" t="s">
        <v>69</v>
      </c>
      <c r="P114" s="9" t="s">
        <v>69</v>
      </c>
      <c r="Q114" s="9" t="s">
        <v>69</v>
      </c>
      <c r="R114" s="9" t="s">
        <v>69</v>
      </c>
      <c r="S114" s="9" t="s">
        <v>69</v>
      </c>
      <c r="T114" s="9" t="s">
        <v>69</v>
      </c>
      <c r="U114" s="9">
        <v>4</v>
      </c>
      <c r="V114" s="9" t="s">
        <v>26</v>
      </c>
      <c r="W114" s="9">
        <v>1</v>
      </c>
      <c r="X114" s="9" t="s">
        <v>190</v>
      </c>
      <c r="Y114" s="9" t="s">
        <v>351</v>
      </c>
      <c r="Z114" s="9" t="s">
        <v>423</v>
      </c>
      <c r="AA114" s="9" t="s">
        <v>11</v>
      </c>
      <c r="AB114" s="9" t="s">
        <v>12</v>
      </c>
      <c r="AC114" s="9" t="s">
        <v>12</v>
      </c>
      <c r="AD114" s="9" t="s">
        <v>162</v>
      </c>
      <c r="AE114" s="12">
        <v>0</v>
      </c>
      <c r="AF114" s="12">
        <v>0</v>
      </c>
      <c r="AG114" s="12">
        <v>0</v>
      </c>
      <c r="AH114" s="12">
        <v>0</v>
      </c>
      <c r="AI114" s="12">
        <v>0</v>
      </c>
      <c r="AJ114" s="12">
        <v>0</v>
      </c>
    </row>
    <row r="115" spans="1:36" ht="66" x14ac:dyDescent="0.2">
      <c r="A115" s="10" t="s">
        <v>36</v>
      </c>
      <c r="B115" s="10" t="s">
        <v>5</v>
      </c>
      <c r="C115" s="10" t="s">
        <v>7</v>
      </c>
      <c r="D115" s="10">
        <v>2</v>
      </c>
      <c r="E115" s="10">
        <v>4</v>
      </c>
      <c r="F115" s="10">
        <v>3</v>
      </c>
      <c r="G115" s="10" t="s">
        <v>12</v>
      </c>
      <c r="H115" s="10" t="s">
        <v>17</v>
      </c>
      <c r="I115" s="10" t="s">
        <v>94</v>
      </c>
      <c r="J115" s="10">
        <v>2</v>
      </c>
      <c r="K115" s="10" t="s">
        <v>88</v>
      </c>
      <c r="L115" s="10" t="s">
        <v>21</v>
      </c>
      <c r="M115" s="10" t="s">
        <v>12</v>
      </c>
      <c r="N115" s="10" t="s">
        <v>143</v>
      </c>
      <c r="O115" s="10" t="s">
        <v>65</v>
      </c>
      <c r="P115" s="10" t="s">
        <v>67</v>
      </c>
      <c r="Q115" s="10" t="s">
        <v>64</v>
      </c>
      <c r="R115" s="10" t="s">
        <v>66</v>
      </c>
      <c r="S115" s="10" t="s">
        <v>68</v>
      </c>
      <c r="T115" s="10" t="s">
        <v>69</v>
      </c>
      <c r="U115" s="10">
        <v>4</v>
      </c>
      <c r="V115" s="10" t="s">
        <v>26</v>
      </c>
      <c r="W115" s="10">
        <v>1</v>
      </c>
      <c r="X115" s="10" t="s">
        <v>116</v>
      </c>
      <c r="Y115" s="10" t="s">
        <v>183</v>
      </c>
      <c r="Z115" s="10" t="s">
        <v>424</v>
      </c>
      <c r="AA115" s="10" t="s">
        <v>11</v>
      </c>
      <c r="AB115" s="10" t="s">
        <v>12</v>
      </c>
      <c r="AC115" s="10" t="s">
        <v>12</v>
      </c>
      <c r="AD115" s="10" t="s">
        <v>113</v>
      </c>
      <c r="AE115" s="13">
        <v>0</v>
      </c>
      <c r="AF115" s="13">
        <v>0</v>
      </c>
      <c r="AG115" s="13">
        <v>0</v>
      </c>
      <c r="AH115" s="13">
        <v>0</v>
      </c>
      <c r="AI115" s="13">
        <v>0</v>
      </c>
      <c r="AJ115" s="13">
        <v>0</v>
      </c>
    </row>
    <row r="116" spans="1:36" ht="92" x14ac:dyDescent="0.2">
      <c r="A116" s="9" t="s">
        <v>36</v>
      </c>
      <c r="B116" s="9" t="s">
        <v>5</v>
      </c>
      <c r="C116" s="9" t="s">
        <v>7</v>
      </c>
      <c r="D116" s="9">
        <v>4</v>
      </c>
      <c r="E116" s="9">
        <v>5</v>
      </c>
      <c r="F116" s="9">
        <v>4</v>
      </c>
      <c r="G116" s="9" t="s">
        <v>12</v>
      </c>
      <c r="H116" s="9" t="s">
        <v>16</v>
      </c>
      <c r="I116" s="9" t="s">
        <v>87</v>
      </c>
      <c r="J116" s="9">
        <v>4</v>
      </c>
      <c r="K116" s="9" t="s">
        <v>81</v>
      </c>
      <c r="L116" s="9" t="s">
        <v>20</v>
      </c>
      <c r="M116" s="9" t="s">
        <v>11</v>
      </c>
      <c r="N116" s="9" t="s">
        <v>143</v>
      </c>
      <c r="O116" s="9" t="s">
        <v>66</v>
      </c>
      <c r="P116" s="9" t="s">
        <v>64</v>
      </c>
      <c r="Q116" s="9" t="s">
        <v>65</v>
      </c>
      <c r="R116" s="9" t="s">
        <v>67</v>
      </c>
      <c r="S116" s="9" t="s">
        <v>68</v>
      </c>
      <c r="T116" s="9" t="s">
        <v>69</v>
      </c>
      <c r="U116" s="9">
        <v>4</v>
      </c>
      <c r="V116" s="9" t="s">
        <v>26</v>
      </c>
      <c r="W116" s="9">
        <v>2</v>
      </c>
      <c r="X116" s="9" t="s">
        <v>387</v>
      </c>
      <c r="Y116" s="9" t="s">
        <v>132</v>
      </c>
      <c r="Z116" s="9" t="s">
        <v>425</v>
      </c>
      <c r="AA116" s="9" t="s">
        <v>12</v>
      </c>
      <c r="AB116" s="9" t="s">
        <v>12</v>
      </c>
      <c r="AC116" s="9" t="s">
        <v>12</v>
      </c>
      <c r="AD116" s="9" t="s">
        <v>151</v>
      </c>
      <c r="AE116" s="12">
        <v>0</v>
      </c>
      <c r="AF116" s="12">
        <v>0</v>
      </c>
      <c r="AG116" s="12">
        <v>0</v>
      </c>
      <c r="AH116" s="12">
        <v>0</v>
      </c>
      <c r="AI116" s="12">
        <v>0</v>
      </c>
      <c r="AJ116" s="12">
        <v>0</v>
      </c>
    </row>
    <row r="117" spans="1:36" ht="27" x14ac:dyDescent="0.2">
      <c r="A117" s="10" t="s">
        <v>36</v>
      </c>
      <c r="B117" s="10" t="s">
        <v>5</v>
      </c>
      <c r="C117" s="10" t="s">
        <v>7</v>
      </c>
      <c r="D117" s="10">
        <v>2</v>
      </c>
      <c r="E117" s="10">
        <v>4</v>
      </c>
      <c r="F117" s="10">
        <v>3</v>
      </c>
      <c r="G117" s="10" t="s">
        <v>12</v>
      </c>
      <c r="H117" s="10" t="s">
        <v>17</v>
      </c>
      <c r="I117" s="10" t="s">
        <v>76</v>
      </c>
      <c r="J117" s="10">
        <v>4</v>
      </c>
      <c r="K117" s="10" t="s">
        <v>62</v>
      </c>
      <c r="L117" s="10" t="s">
        <v>20</v>
      </c>
      <c r="M117" s="10" t="s">
        <v>13</v>
      </c>
      <c r="N117" s="13">
        <v>0</v>
      </c>
      <c r="O117" s="10" t="s">
        <v>65</v>
      </c>
      <c r="P117" s="10" t="s">
        <v>66</v>
      </c>
      <c r="Q117" s="10" t="s">
        <v>67</v>
      </c>
      <c r="R117" s="10" t="s">
        <v>68</v>
      </c>
      <c r="S117" s="10" t="s">
        <v>64</v>
      </c>
      <c r="T117" s="10" t="s">
        <v>69</v>
      </c>
      <c r="U117" s="10">
        <v>2</v>
      </c>
      <c r="V117" s="10" t="s">
        <v>27</v>
      </c>
      <c r="W117" s="10">
        <v>3</v>
      </c>
      <c r="X117" s="10" t="s">
        <v>235</v>
      </c>
      <c r="Y117" s="10" t="s">
        <v>137</v>
      </c>
      <c r="Z117" s="10" t="s">
        <v>265</v>
      </c>
      <c r="AA117" s="10" t="s">
        <v>11</v>
      </c>
      <c r="AB117" s="10" t="s">
        <v>13</v>
      </c>
      <c r="AC117" s="10" t="s">
        <v>13</v>
      </c>
      <c r="AD117" s="10" t="s">
        <v>401</v>
      </c>
      <c r="AE117" s="13">
        <v>0</v>
      </c>
      <c r="AF117" s="13">
        <v>0</v>
      </c>
      <c r="AG117" s="13">
        <v>0</v>
      </c>
      <c r="AH117" s="13">
        <v>0</v>
      </c>
      <c r="AI117" s="13">
        <v>0</v>
      </c>
      <c r="AJ117" s="13">
        <v>0</v>
      </c>
    </row>
    <row r="118" spans="1:36" ht="92" x14ac:dyDescent="0.2">
      <c r="A118" s="9" t="s">
        <v>36</v>
      </c>
      <c r="B118" s="9" t="s">
        <v>5</v>
      </c>
      <c r="C118" s="9" t="s">
        <v>8</v>
      </c>
      <c r="D118" s="9">
        <v>2</v>
      </c>
      <c r="E118" s="9">
        <v>4</v>
      </c>
      <c r="F118" s="9">
        <v>3</v>
      </c>
      <c r="G118" s="9" t="s">
        <v>12</v>
      </c>
      <c r="H118" s="9" t="s">
        <v>17</v>
      </c>
      <c r="I118" s="9" t="s">
        <v>226</v>
      </c>
      <c r="J118" s="9">
        <v>2</v>
      </c>
      <c r="K118" s="9" t="s">
        <v>62</v>
      </c>
      <c r="L118" s="9" t="s">
        <v>22</v>
      </c>
      <c r="M118" s="9" t="s">
        <v>13</v>
      </c>
      <c r="N118" s="12">
        <v>0</v>
      </c>
      <c r="O118" s="9" t="s">
        <v>65</v>
      </c>
      <c r="P118" s="9" t="s">
        <v>68</v>
      </c>
      <c r="Q118" s="9" t="s">
        <v>66</v>
      </c>
      <c r="R118" s="9" t="s">
        <v>64</v>
      </c>
      <c r="S118" s="9" t="s">
        <v>67</v>
      </c>
      <c r="T118" s="9" t="s">
        <v>69</v>
      </c>
      <c r="U118" s="9">
        <v>5</v>
      </c>
      <c r="V118" s="9" t="s">
        <v>26</v>
      </c>
      <c r="W118" s="9">
        <v>2</v>
      </c>
      <c r="X118" s="9" t="s">
        <v>232</v>
      </c>
      <c r="Y118" s="9" t="s">
        <v>302</v>
      </c>
      <c r="Z118" s="9" t="s">
        <v>283</v>
      </c>
      <c r="AA118" s="9" t="s">
        <v>11</v>
      </c>
      <c r="AB118" s="9" t="s">
        <v>12</v>
      </c>
      <c r="AC118" s="9" t="s">
        <v>12</v>
      </c>
      <c r="AD118" s="9" t="s">
        <v>426</v>
      </c>
      <c r="AE118" s="12">
        <v>0</v>
      </c>
      <c r="AF118" s="12">
        <v>0</v>
      </c>
      <c r="AG118" s="12">
        <v>0</v>
      </c>
      <c r="AH118" s="12">
        <v>0</v>
      </c>
      <c r="AI118" s="12">
        <v>0</v>
      </c>
      <c r="AJ118" s="12">
        <v>0</v>
      </c>
    </row>
    <row r="119" spans="1:36" ht="105" x14ac:dyDescent="0.2">
      <c r="A119" s="10" t="s">
        <v>36</v>
      </c>
      <c r="B119" s="10" t="s">
        <v>5</v>
      </c>
      <c r="C119" s="10" t="s">
        <v>7</v>
      </c>
      <c r="D119" s="10">
        <v>3</v>
      </c>
      <c r="E119" s="10">
        <v>4</v>
      </c>
      <c r="F119" s="10">
        <v>4</v>
      </c>
      <c r="G119" s="10" t="s">
        <v>12</v>
      </c>
      <c r="H119" s="10" t="s">
        <v>17</v>
      </c>
      <c r="I119" s="10" t="s">
        <v>125</v>
      </c>
      <c r="J119" s="10">
        <v>4</v>
      </c>
      <c r="K119" s="10" t="s">
        <v>81</v>
      </c>
      <c r="L119" s="10" t="s">
        <v>20</v>
      </c>
      <c r="M119" s="10" t="s">
        <v>11</v>
      </c>
      <c r="N119" s="13">
        <v>0</v>
      </c>
      <c r="O119" s="10" t="s">
        <v>66</v>
      </c>
      <c r="P119" s="10" t="s">
        <v>65</v>
      </c>
      <c r="Q119" s="10" t="s">
        <v>68</v>
      </c>
      <c r="R119" s="10" t="s">
        <v>64</v>
      </c>
      <c r="S119" s="10" t="s">
        <v>67</v>
      </c>
      <c r="T119" s="10" t="s">
        <v>69</v>
      </c>
      <c r="U119" s="10">
        <v>5</v>
      </c>
      <c r="V119" s="10" t="s">
        <v>26</v>
      </c>
      <c r="W119" s="10">
        <v>3</v>
      </c>
      <c r="X119" s="10" t="s">
        <v>235</v>
      </c>
      <c r="Y119" s="10" t="s">
        <v>183</v>
      </c>
      <c r="Z119" s="10" t="s">
        <v>267</v>
      </c>
      <c r="AA119" s="10" t="s">
        <v>11</v>
      </c>
      <c r="AB119" s="10" t="s">
        <v>12</v>
      </c>
      <c r="AC119" s="10" t="s">
        <v>12</v>
      </c>
      <c r="AD119" s="10" t="s">
        <v>93</v>
      </c>
      <c r="AE119" s="13">
        <v>0</v>
      </c>
      <c r="AF119" s="13">
        <v>0</v>
      </c>
      <c r="AG119" s="10" t="s">
        <v>427</v>
      </c>
      <c r="AH119" s="13" t="s">
        <v>540</v>
      </c>
      <c r="AI119" s="13">
        <v>0</v>
      </c>
      <c r="AJ119" s="13">
        <v>0</v>
      </c>
    </row>
    <row r="120" spans="1:36" ht="92" x14ac:dyDescent="0.2">
      <c r="A120" s="9" t="s">
        <v>36</v>
      </c>
      <c r="B120" s="9" t="s">
        <v>3</v>
      </c>
      <c r="C120" s="9" t="s">
        <v>7</v>
      </c>
      <c r="D120" s="9">
        <v>3</v>
      </c>
      <c r="E120" s="9">
        <v>5</v>
      </c>
      <c r="F120" s="9">
        <v>4</v>
      </c>
      <c r="G120" s="9" t="s">
        <v>11</v>
      </c>
      <c r="H120" s="9" t="s">
        <v>11</v>
      </c>
      <c r="I120" s="12">
        <v>0</v>
      </c>
      <c r="J120" s="9">
        <v>3</v>
      </c>
      <c r="K120" s="9" t="s">
        <v>81</v>
      </c>
      <c r="L120" s="9" t="s">
        <v>21</v>
      </c>
      <c r="M120" s="9" t="s">
        <v>11</v>
      </c>
      <c r="N120" s="12">
        <v>0</v>
      </c>
      <c r="O120" s="9" t="s">
        <v>66</v>
      </c>
      <c r="P120" s="9" t="s">
        <v>64</v>
      </c>
      <c r="Q120" s="9" t="s">
        <v>65</v>
      </c>
      <c r="R120" s="9" t="s">
        <v>67</v>
      </c>
      <c r="S120" s="9" t="s">
        <v>69</v>
      </c>
      <c r="T120" s="9" t="s">
        <v>68</v>
      </c>
      <c r="U120" s="9">
        <v>5</v>
      </c>
      <c r="V120" s="9" t="s">
        <v>26</v>
      </c>
      <c r="W120" s="9">
        <v>2</v>
      </c>
      <c r="X120" s="9" t="s">
        <v>116</v>
      </c>
      <c r="Y120" s="9" t="s">
        <v>305</v>
      </c>
      <c r="Z120" s="9" t="s">
        <v>233</v>
      </c>
      <c r="AA120" s="9" t="s">
        <v>11</v>
      </c>
      <c r="AB120" s="9" t="s">
        <v>12</v>
      </c>
      <c r="AC120" s="9" t="s">
        <v>12</v>
      </c>
      <c r="AD120" s="9" t="s">
        <v>250</v>
      </c>
      <c r="AE120" s="12">
        <v>0</v>
      </c>
      <c r="AF120" s="12">
        <v>0</v>
      </c>
      <c r="AG120" s="12">
        <v>0</v>
      </c>
      <c r="AH120" s="12">
        <v>0</v>
      </c>
      <c r="AI120" s="12">
        <v>0</v>
      </c>
      <c r="AJ120" s="12">
        <v>0</v>
      </c>
    </row>
    <row r="121" spans="1:36" ht="66" x14ac:dyDescent="0.2">
      <c r="A121" s="10" t="s">
        <v>35</v>
      </c>
      <c r="B121" s="13">
        <v>0</v>
      </c>
      <c r="C121" s="13">
        <v>0</v>
      </c>
      <c r="D121" s="10">
        <v>2</v>
      </c>
      <c r="E121" s="10">
        <v>3</v>
      </c>
      <c r="F121" s="10">
        <v>1</v>
      </c>
      <c r="G121" s="10" t="s">
        <v>13</v>
      </c>
      <c r="H121" s="10" t="s">
        <v>15</v>
      </c>
      <c r="I121" s="10" t="s">
        <v>87</v>
      </c>
      <c r="J121" s="10">
        <v>4</v>
      </c>
      <c r="K121" s="10" t="s">
        <v>103</v>
      </c>
      <c r="L121" s="10" t="s">
        <v>20</v>
      </c>
      <c r="M121" s="10" t="s">
        <v>13</v>
      </c>
      <c r="N121" s="13">
        <v>0</v>
      </c>
      <c r="O121" s="10" t="s">
        <v>64</v>
      </c>
      <c r="P121" s="10" t="s">
        <v>65</v>
      </c>
      <c r="Q121" s="10" t="s">
        <v>68</v>
      </c>
      <c r="R121" s="10" t="s">
        <v>66</v>
      </c>
      <c r="S121" s="10" t="s">
        <v>67</v>
      </c>
      <c r="T121" s="10" t="s">
        <v>69</v>
      </c>
      <c r="U121" s="10">
        <v>4</v>
      </c>
      <c r="V121" s="10" t="s">
        <v>26</v>
      </c>
      <c r="W121" s="10">
        <v>4</v>
      </c>
      <c r="X121" s="10" t="s">
        <v>428</v>
      </c>
      <c r="Y121" s="10" t="s">
        <v>364</v>
      </c>
      <c r="Z121" s="10" t="s">
        <v>366</v>
      </c>
      <c r="AA121" s="10" t="s">
        <v>11</v>
      </c>
      <c r="AB121" s="10" t="s">
        <v>12</v>
      </c>
      <c r="AC121" s="10" t="s">
        <v>12</v>
      </c>
      <c r="AD121" s="10" t="s">
        <v>166</v>
      </c>
      <c r="AE121" s="13">
        <v>0</v>
      </c>
      <c r="AF121" s="13">
        <v>0</v>
      </c>
      <c r="AG121" s="13">
        <v>0</v>
      </c>
      <c r="AH121" s="13">
        <v>0</v>
      </c>
      <c r="AI121" s="13">
        <v>0</v>
      </c>
      <c r="AJ121" s="13">
        <v>0</v>
      </c>
    </row>
    <row r="122" spans="1:36" ht="43" x14ac:dyDescent="0.2">
      <c r="A122" s="9" t="s">
        <v>35</v>
      </c>
      <c r="B122" s="12">
        <v>0</v>
      </c>
      <c r="C122" s="12">
        <v>0</v>
      </c>
      <c r="D122" s="9">
        <v>2</v>
      </c>
      <c r="E122" s="9">
        <v>4</v>
      </c>
      <c r="F122" s="9">
        <v>2</v>
      </c>
      <c r="G122" s="9" t="s">
        <v>12</v>
      </c>
      <c r="H122" s="9" t="s">
        <v>17</v>
      </c>
      <c r="I122" s="9" t="s">
        <v>429</v>
      </c>
      <c r="J122" s="9">
        <v>2</v>
      </c>
      <c r="K122" s="9" t="s">
        <v>62</v>
      </c>
      <c r="L122" s="9" t="s">
        <v>20</v>
      </c>
      <c r="M122" s="9" t="s">
        <v>12</v>
      </c>
      <c r="N122" s="9" t="s">
        <v>405</v>
      </c>
      <c r="O122" s="9" t="s">
        <v>66</v>
      </c>
      <c r="P122" s="9" t="s">
        <v>68</v>
      </c>
      <c r="Q122" s="9" t="s">
        <v>65</v>
      </c>
      <c r="R122" s="9" t="s">
        <v>64</v>
      </c>
      <c r="S122" s="9" t="s">
        <v>67</v>
      </c>
      <c r="T122" s="9" t="s">
        <v>69</v>
      </c>
      <c r="U122" s="9">
        <v>5</v>
      </c>
      <c r="V122" s="9" t="s">
        <v>26</v>
      </c>
      <c r="W122" s="9">
        <v>2</v>
      </c>
      <c r="X122" s="9" t="s">
        <v>190</v>
      </c>
      <c r="Y122" s="9" t="s">
        <v>179</v>
      </c>
      <c r="Z122" s="9" t="s">
        <v>430</v>
      </c>
      <c r="AA122" s="9" t="s">
        <v>12</v>
      </c>
      <c r="AB122" s="9" t="s">
        <v>12</v>
      </c>
      <c r="AC122" s="9" t="s">
        <v>12</v>
      </c>
      <c r="AD122" s="9" t="s">
        <v>86</v>
      </c>
      <c r="AE122" s="12">
        <v>0</v>
      </c>
      <c r="AF122" s="12">
        <v>0</v>
      </c>
      <c r="AG122" s="9" t="s">
        <v>431</v>
      </c>
      <c r="AH122" s="12" t="s">
        <v>432</v>
      </c>
      <c r="AI122" s="12">
        <v>0</v>
      </c>
      <c r="AJ122" s="12">
        <v>0</v>
      </c>
    </row>
    <row r="123" spans="1:36" ht="92" x14ac:dyDescent="0.2">
      <c r="A123" s="10" t="s">
        <v>35</v>
      </c>
      <c r="B123" s="13">
        <v>0</v>
      </c>
      <c r="C123" s="13">
        <v>0</v>
      </c>
      <c r="D123" s="10">
        <v>2</v>
      </c>
      <c r="E123" s="10">
        <v>4</v>
      </c>
      <c r="F123" s="10">
        <v>1</v>
      </c>
      <c r="G123" s="10" t="s">
        <v>11</v>
      </c>
      <c r="H123" s="10" t="s">
        <v>11</v>
      </c>
      <c r="I123" s="10" t="s">
        <v>94</v>
      </c>
      <c r="J123" s="10">
        <v>4</v>
      </c>
      <c r="K123" s="10" t="s">
        <v>167</v>
      </c>
      <c r="L123" s="10" t="s">
        <v>22</v>
      </c>
      <c r="M123" s="10" t="s">
        <v>12</v>
      </c>
      <c r="N123" s="10" t="s">
        <v>231</v>
      </c>
      <c r="O123" s="10" t="s">
        <v>358</v>
      </c>
      <c r="P123" s="10" t="s">
        <v>311</v>
      </c>
      <c r="Q123" s="10" t="s">
        <v>68</v>
      </c>
      <c r="R123" s="10" t="s">
        <v>69</v>
      </c>
      <c r="S123" s="10" t="s">
        <v>67</v>
      </c>
      <c r="T123" s="10" t="s">
        <v>67</v>
      </c>
      <c r="U123" s="10">
        <v>5</v>
      </c>
      <c r="V123" s="10" t="s">
        <v>27</v>
      </c>
      <c r="W123" s="10">
        <v>1</v>
      </c>
      <c r="X123" s="10" t="s">
        <v>154</v>
      </c>
      <c r="Y123" s="10" t="s">
        <v>242</v>
      </c>
      <c r="Z123" s="10" t="s">
        <v>320</v>
      </c>
      <c r="AA123" s="10" t="s">
        <v>12</v>
      </c>
      <c r="AB123" s="10" t="s">
        <v>12</v>
      </c>
      <c r="AC123" s="10" t="s">
        <v>12</v>
      </c>
      <c r="AD123" s="10" t="s">
        <v>157</v>
      </c>
      <c r="AE123" s="13">
        <v>0</v>
      </c>
      <c r="AF123" s="13">
        <v>0</v>
      </c>
      <c r="AG123" s="13">
        <v>0</v>
      </c>
      <c r="AH123" s="13">
        <v>0</v>
      </c>
      <c r="AI123" s="13">
        <v>0</v>
      </c>
      <c r="AJ123" s="13">
        <v>0</v>
      </c>
    </row>
    <row r="124" spans="1:36" ht="79" x14ac:dyDescent="0.2">
      <c r="A124" s="9" t="s">
        <v>35</v>
      </c>
      <c r="B124" s="12">
        <v>0</v>
      </c>
      <c r="C124" s="12">
        <v>0</v>
      </c>
      <c r="D124" s="9">
        <v>2</v>
      </c>
      <c r="E124" s="9">
        <v>4</v>
      </c>
      <c r="F124" s="9">
        <v>2</v>
      </c>
      <c r="G124" s="9" t="s">
        <v>11</v>
      </c>
      <c r="H124" s="9" t="s">
        <v>15</v>
      </c>
      <c r="I124" s="9" t="s">
        <v>152</v>
      </c>
      <c r="J124" s="9">
        <v>4</v>
      </c>
      <c r="K124" s="9" t="s">
        <v>103</v>
      </c>
      <c r="L124" s="9" t="s">
        <v>20</v>
      </c>
      <c r="M124" s="9" t="s">
        <v>12</v>
      </c>
      <c r="N124" s="9" t="s">
        <v>109</v>
      </c>
      <c r="O124" s="9" t="s">
        <v>68</v>
      </c>
      <c r="P124" s="9" t="s">
        <v>64</v>
      </c>
      <c r="Q124" s="9" t="s">
        <v>66</v>
      </c>
      <c r="R124" s="9" t="s">
        <v>67</v>
      </c>
      <c r="S124" s="9" t="s">
        <v>65</v>
      </c>
      <c r="T124" s="9" t="s">
        <v>69</v>
      </c>
      <c r="U124" s="9">
        <v>4</v>
      </c>
      <c r="V124" s="9" t="s">
        <v>28</v>
      </c>
      <c r="W124" s="9">
        <v>2</v>
      </c>
      <c r="X124" s="9" t="s">
        <v>407</v>
      </c>
      <c r="Y124" s="9" t="s">
        <v>433</v>
      </c>
      <c r="Z124" s="9" t="s">
        <v>434</v>
      </c>
      <c r="AA124" s="9" t="s">
        <v>12</v>
      </c>
      <c r="AB124" s="9" t="s">
        <v>12</v>
      </c>
      <c r="AC124" s="9" t="s">
        <v>13</v>
      </c>
      <c r="AD124" s="9" t="s">
        <v>250</v>
      </c>
      <c r="AE124" s="12">
        <v>0</v>
      </c>
      <c r="AF124" s="12">
        <v>0</v>
      </c>
      <c r="AG124" s="12">
        <v>0</v>
      </c>
      <c r="AH124" s="12">
        <v>0</v>
      </c>
      <c r="AI124" s="12">
        <v>0</v>
      </c>
      <c r="AJ124" s="12">
        <v>0</v>
      </c>
    </row>
    <row r="125" spans="1:36" ht="79" x14ac:dyDescent="0.2">
      <c r="A125" s="10" t="s">
        <v>35</v>
      </c>
      <c r="B125" s="13">
        <v>0</v>
      </c>
      <c r="C125" s="13">
        <v>0</v>
      </c>
      <c r="D125" s="10">
        <v>4</v>
      </c>
      <c r="E125" s="10">
        <v>5</v>
      </c>
      <c r="F125" s="10">
        <v>3</v>
      </c>
      <c r="G125" s="10" t="s">
        <v>12</v>
      </c>
      <c r="H125" s="10" t="s">
        <v>17</v>
      </c>
      <c r="I125" s="10" t="s">
        <v>99</v>
      </c>
      <c r="J125" s="10">
        <v>2</v>
      </c>
      <c r="K125" s="10" t="s">
        <v>88</v>
      </c>
      <c r="L125" s="10" t="s">
        <v>21</v>
      </c>
      <c r="M125" s="10" t="s">
        <v>12</v>
      </c>
      <c r="N125" s="10" t="s">
        <v>82</v>
      </c>
      <c r="O125" s="10" t="s">
        <v>64</v>
      </c>
      <c r="P125" s="10" t="s">
        <v>65</v>
      </c>
      <c r="Q125" s="10" t="s">
        <v>68</v>
      </c>
      <c r="R125" s="10" t="s">
        <v>67</v>
      </c>
      <c r="S125" s="10" t="s">
        <v>66</v>
      </c>
      <c r="T125" s="10" t="s">
        <v>69</v>
      </c>
      <c r="U125" s="10">
        <v>4</v>
      </c>
      <c r="V125" s="10" t="s">
        <v>26</v>
      </c>
      <c r="W125" s="10">
        <v>2</v>
      </c>
      <c r="X125" s="10" t="s">
        <v>116</v>
      </c>
      <c r="Y125" s="10" t="s">
        <v>435</v>
      </c>
      <c r="Z125" s="10" t="s">
        <v>156</v>
      </c>
      <c r="AA125" s="10" t="s">
        <v>11</v>
      </c>
      <c r="AB125" s="10" t="s">
        <v>12</v>
      </c>
      <c r="AC125" s="10" t="s">
        <v>12</v>
      </c>
      <c r="AD125" s="10" t="s">
        <v>436</v>
      </c>
      <c r="AE125" s="13">
        <v>0</v>
      </c>
      <c r="AF125" s="13">
        <v>0</v>
      </c>
      <c r="AG125" s="13">
        <v>0</v>
      </c>
      <c r="AH125" s="13">
        <v>0</v>
      </c>
      <c r="AI125" s="13">
        <v>0</v>
      </c>
      <c r="AJ125" s="13">
        <v>0</v>
      </c>
    </row>
    <row r="126" spans="1:36" ht="105" x14ac:dyDescent="0.2">
      <c r="A126" s="9" t="s">
        <v>36</v>
      </c>
      <c r="B126" s="9" t="s">
        <v>5</v>
      </c>
      <c r="C126" s="9" t="s">
        <v>7</v>
      </c>
      <c r="D126" s="9">
        <v>2</v>
      </c>
      <c r="E126" s="9">
        <v>2</v>
      </c>
      <c r="F126" s="9">
        <v>2</v>
      </c>
      <c r="G126" s="9" t="s">
        <v>11</v>
      </c>
      <c r="H126" s="9" t="s">
        <v>16</v>
      </c>
      <c r="I126" s="9" t="s">
        <v>152</v>
      </c>
      <c r="J126" s="9">
        <v>3</v>
      </c>
      <c r="K126" s="9" t="s">
        <v>88</v>
      </c>
      <c r="L126" s="9" t="s">
        <v>20</v>
      </c>
      <c r="M126" s="9" t="s">
        <v>12</v>
      </c>
      <c r="N126" s="9" t="s">
        <v>89</v>
      </c>
      <c r="O126" s="9" t="s">
        <v>69</v>
      </c>
      <c r="P126" s="9" t="s">
        <v>68</v>
      </c>
      <c r="Q126" s="9" t="s">
        <v>64</v>
      </c>
      <c r="R126" s="9" t="s">
        <v>65</v>
      </c>
      <c r="S126" s="9" t="s">
        <v>67</v>
      </c>
      <c r="T126" s="9" t="s">
        <v>66</v>
      </c>
      <c r="U126" s="9">
        <v>4</v>
      </c>
      <c r="V126" s="9" t="s">
        <v>26</v>
      </c>
      <c r="W126" s="9">
        <v>1</v>
      </c>
      <c r="X126" s="9" t="s">
        <v>100</v>
      </c>
      <c r="Y126" s="9" t="s">
        <v>341</v>
      </c>
      <c r="Z126" s="9" t="s">
        <v>437</v>
      </c>
      <c r="AA126" s="9" t="s">
        <v>11</v>
      </c>
      <c r="AB126" s="9" t="s">
        <v>12</v>
      </c>
      <c r="AC126" s="9" t="s">
        <v>12</v>
      </c>
      <c r="AD126" s="9" t="s">
        <v>250</v>
      </c>
      <c r="AE126" s="12">
        <v>0</v>
      </c>
      <c r="AF126" s="12">
        <v>0</v>
      </c>
      <c r="AG126" s="12">
        <v>0</v>
      </c>
      <c r="AH126" s="12">
        <v>0</v>
      </c>
      <c r="AI126" s="12">
        <v>0</v>
      </c>
      <c r="AJ126" s="12">
        <v>0</v>
      </c>
    </row>
    <row r="127" spans="1:36" ht="131" x14ac:dyDescent="0.2">
      <c r="A127" s="10" t="s">
        <v>35</v>
      </c>
      <c r="B127" s="13">
        <v>0</v>
      </c>
      <c r="C127" s="13">
        <v>0</v>
      </c>
      <c r="D127" s="10">
        <v>2</v>
      </c>
      <c r="E127" s="10">
        <v>3</v>
      </c>
      <c r="F127" s="10">
        <v>1</v>
      </c>
      <c r="G127" s="10" t="s">
        <v>13</v>
      </c>
      <c r="H127" s="10" t="s">
        <v>11</v>
      </c>
      <c r="I127" s="13">
        <v>0</v>
      </c>
      <c r="J127" s="10">
        <v>2</v>
      </c>
      <c r="K127" s="10" t="s">
        <v>103</v>
      </c>
      <c r="L127" s="10" t="s">
        <v>21</v>
      </c>
      <c r="M127" s="10" t="s">
        <v>12</v>
      </c>
      <c r="N127" s="10" t="s">
        <v>159</v>
      </c>
      <c r="O127" s="10" t="s">
        <v>68</v>
      </c>
      <c r="P127" s="10" t="s">
        <v>65</v>
      </c>
      <c r="Q127" s="10" t="s">
        <v>64</v>
      </c>
      <c r="R127" s="10" t="s">
        <v>67</v>
      </c>
      <c r="S127" s="10" t="s">
        <v>69</v>
      </c>
      <c r="T127" s="10" t="s">
        <v>66</v>
      </c>
      <c r="U127" s="10">
        <v>4</v>
      </c>
      <c r="V127" s="10" t="s">
        <v>27</v>
      </c>
      <c r="W127" s="10">
        <v>1</v>
      </c>
      <c r="X127" s="10" t="s">
        <v>412</v>
      </c>
      <c r="Y127" s="10" t="s">
        <v>215</v>
      </c>
      <c r="Z127" s="10" t="s">
        <v>438</v>
      </c>
      <c r="AA127" s="10" t="s">
        <v>12</v>
      </c>
      <c r="AB127" s="10" t="s">
        <v>12</v>
      </c>
      <c r="AC127" s="10" t="s">
        <v>13</v>
      </c>
      <c r="AD127" s="10" t="s">
        <v>157</v>
      </c>
      <c r="AE127" s="13">
        <v>0</v>
      </c>
      <c r="AF127" s="13">
        <v>0</v>
      </c>
      <c r="AG127" s="13">
        <v>0</v>
      </c>
      <c r="AH127" s="13">
        <v>0</v>
      </c>
      <c r="AI127" s="13">
        <v>0</v>
      </c>
      <c r="AJ127" s="13">
        <v>0</v>
      </c>
    </row>
    <row r="128" spans="1:36" ht="118" x14ac:dyDescent="0.2">
      <c r="A128" s="9" t="s">
        <v>36</v>
      </c>
      <c r="B128" s="9" t="s">
        <v>3</v>
      </c>
      <c r="C128" s="9" t="s">
        <v>7</v>
      </c>
      <c r="D128" s="9">
        <v>4</v>
      </c>
      <c r="E128" s="9">
        <v>4</v>
      </c>
      <c r="F128" s="9">
        <v>4</v>
      </c>
      <c r="G128" s="9" t="s">
        <v>11</v>
      </c>
      <c r="H128" s="9" t="s">
        <v>16</v>
      </c>
      <c r="I128" s="9" t="s">
        <v>439</v>
      </c>
      <c r="J128" s="9">
        <v>4</v>
      </c>
      <c r="K128" s="9" t="s">
        <v>81</v>
      </c>
      <c r="L128" s="9" t="s">
        <v>20</v>
      </c>
      <c r="M128" s="9" t="s">
        <v>11</v>
      </c>
      <c r="N128" s="12">
        <v>0</v>
      </c>
      <c r="O128" s="9" t="s">
        <v>68</v>
      </c>
      <c r="P128" s="9" t="s">
        <v>64</v>
      </c>
      <c r="Q128" s="9" t="s">
        <v>65</v>
      </c>
      <c r="R128" s="9" t="s">
        <v>66</v>
      </c>
      <c r="S128" s="9" t="s">
        <v>67</v>
      </c>
      <c r="T128" s="9" t="s">
        <v>69</v>
      </c>
      <c r="U128" s="9">
        <v>4</v>
      </c>
      <c r="V128" s="9" t="s">
        <v>26</v>
      </c>
      <c r="W128" s="9">
        <v>1</v>
      </c>
      <c r="X128" s="9" t="s">
        <v>95</v>
      </c>
      <c r="Y128" s="9" t="s">
        <v>106</v>
      </c>
      <c r="Z128" s="9" t="s">
        <v>440</v>
      </c>
      <c r="AA128" s="9" t="s">
        <v>11</v>
      </c>
      <c r="AB128" s="9" t="s">
        <v>12</v>
      </c>
      <c r="AC128" s="9" t="s">
        <v>12</v>
      </c>
      <c r="AD128" s="9" t="s">
        <v>98</v>
      </c>
      <c r="AE128" s="12">
        <v>0</v>
      </c>
      <c r="AF128" s="12">
        <v>0</v>
      </c>
      <c r="AG128" s="12">
        <v>0</v>
      </c>
      <c r="AH128" s="12">
        <v>0</v>
      </c>
      <c r="AI128" s="12">
        <v>0</v>
      </c>
      <c r="AJ128" s="12">
        <v>0</v>
      </c>
    </row>
    <row r="129" spans="1:36" ht="79" x14ac:dyDescent="0.2">
      <c r="A129" s="10" t="s">
        <v>36</v>
      </c>
      <c r="B129" s="10" t="s">
        <v>5</v>
      </c>
      <c r="C129" s="10" t="s">
        <v>7</v>
      </c>
      <c r="D129" s="10">
        <v>4</v>
      </c>
      <c r="E129" s="10">
        <v>5</v>
      </c>
      <c r="F129" s="10">
        <v>3</v>
      </c>
      <c r="G129" s="10" t="s">
        <v>11</v>
      </c>
      <c r="H129" s="10" t="s">
        <v>11</v>
      </c>
      <c r="I129" s="13">
        <v>0</v>
      </c>
      <c r="J129" s="10">
        <v>5</v>
      </c>
      <c r="K129" s="10" t="s">
        <v>88</v>
      </c>
      <c r="L129" s="10" t="s">
        <v>20</v>
      </c>
      <c r="M129" s="10" t="s">
        <v>11</v>
      </c>
      <c r="N129" s="13">
        <v>0</v>
      </c>
      <c r="O129" s="10" t="s">
        <v>441</v>
      </c>
      <c r="P129" s="10" t="s">
        <v>66</v>
      </c>
      <c r="Q129" s="10" t="s">
        <v>68</v>
      </c>
      <c r="R129" s="10" t="s">
        <v>65</v>
      </c>
      <c r="S129" s="10" t="s">
        <v>65</v>
      </c>
      <c r="T129" s="10" t="s">
        <v>65</v>
      </c>
      <c r="U129" s="10">
        <v>5</v>
      </c>
      <c r="V129" s="10" t="s">
        <v>26</v>
      </c>
      <c r="W129" s="10">
        <v>4</v>
      </c>
      <c r="X129" s="10" t="s">
        <v>442</v>
      </c>
      <c r="Y129" s="10" t="s">
        <v>187</v>
      </c>
      <c r="Z129" s="10" t="s">
        <v>187</v>
      </c>
      <c r="AA129" s="10" t="s">
        <v>11</v>
      </c>
      <c r="AB129" s="10" t="s">
        <v>12</v>
      </c>
      <c r="AC129" s="10" t="s">
        <v>12</v>
      </c>
      <c r="AD129" s="10" t="s">
        <v>73</v>
      </c>
      <c r="AE129" s="13">
        <v>0</v>
      </c>
      <c r="AF129" s="13">
        <v>0</v>
      </c>
      <c r="AG129" s="13">
        <v>0</v>
      </c>
      <c r="AH129" s="13">
        <v>0</v>
      </c>
      <c r="AI129" s="13">
        <v>0</v>
      </c>
      <c r="AJ129" s="13">
        <v>0</v>
      </c>
    </row>
    <row r="130" spans="1:36" ht="131" x14ac:dyDescent="0.2">
      <c r="A130" s="9" t="s">
        <v>35</v>
      </c>
      <c r="B130" s="12">
        <v>0</v>
      </c>
      <c r="C130" s="12">
        <v>0</v>
      </c>
      <c r="D130" s="9">
        <v>3</v>
      </c>
      <c r="E130" s="9">
        <v>4</v>
      </c>
      <c r="F130" s="9">
        <v>2</v>
      </c>
      <c r="G130" s="9" t="s">
        <v>13</v>
      </c>
      <c r="H130" s="9" t="s">
        <v>15</v>
      </c>
      <c r="I130" s="9" t="s">
        <v>99</v>
      </c>
      <c r="J130" s="9">
        <v>3</v>
      </c>
      <c r="K130" s="9" t="s">
        <v>103</v>
      </c>
      <c r="L130" s="9" t="s">
        <v>20</v>
      </c>
      <c r="M130" s="9" t="s">
        <v>12</v>
      </c>
      <c r="N130" s="9" t="s">
        <v>258</v>
      </c>
      <c r="O130" s="9" t="s">
        <v>66</v>
      </c>
      <c r="P130" s="9" t="s">
        <v>64</v>
      </c>
      <c r="Q130" s="9" t="s">
        <v>65</v>
      </c>
      <c r="R130" s="9" t="s">
        <v>67</v>
      </c>
      <c r="S130" s="9" t="s">
        <v>68</v>
      </c>
      <c r="T130" s="9" t="s">
        <v>69</v>
      </c>
      <c r="U130" s="9">
        <v>5</v>
      </c>
      <c r="V130" s="9" t="s">
        <v>26</v>
      </c>
      <c r="W130" s="9">
        <v>1</v>
      </c>
      <c r="X130" s="9" t="s">
        <v>407</v>
      </c>
      <c r="Y130" s="9" t="s">
        <v>443</v>
      </c>
      <c r="Z130" s="9" t="s">
        <v>444</v>
      </c>
      <c r="AA130" s="9" t="s">
        <v>11</v>
      </c>
      <c r="AB130" s="9" t="s">
        <v>12</v>
      </c>
      <c r="AC130" s="9" t="s">
        <v>12</v>
      </c>
      <c r="AD130" s="9" t="s">
        <v>157</v>
      </c>
      <c r="AE130" s="12">
        <v>0</v>
      </c>
      <c r="AF130" s="12">
        <v>0</v>
      </c>
      <c r="AG130" s="9" t="s">
        <v>445</v>
      </c>
      <c r="AH130" s="12" t="s">
        <v>446</v>
      </c>
      <c r="AI130" s="12">
        <v>0</v>
      </c>
      <c r="AJ130" s="12">
        <v>0</v>
      </c>
    </row>
    <row r="131" spans="1:36" ht="40" x14ac:dyDescent="0.2">
      <c r="A131" s="10" t="s">
        <v>36</v>
      </c>
      <c r="B131" s="10" t="s">
        <v>5</v>
      </c>
      <c r="C131" s="10" t="s">
        <v>8</v>
      </c>
      <c r="D131" s="10">
        <v>4</v>
      </c>
      <c r="E131" s="10">
        <v>3</v>
      </c>
      <c r="F131" s="10">
        <v>4</v>
      </c>
      <c r="G131" s="10" t="s">
        <v>12</v>
      </c>
      <c r="H131" s="10" t="s">
        <v>16</v>
      </c>
      <c r="I131" s="10">
        <v>0</v>
      </c>
      <c r="J131" s="10">
        <v>4</v>
      </c>
      <c r="K131" s="10" t="s">
        <v>103</v>
      </c>
      <c r="L131" s="10" t="s">
        <v>21</v>
      </c>
      <c r="M131" s="10" t="s">
        <v>13</v>
      </c>
      <c r="N131" s="10" t="s">
        <v>63</v>
      </c>
      <c r="O131" s="10" t="s">
        <v>66</v>
      </c>
      <c r="P131" s="10" t="s">
        <v>64</v>
      </c>
      <c r="Q131" s="10" t="s">
        <v>68</v>
      </c>
      <c r="R131" s="10" t="s">
        <v>67</v>
      </c>
      <c r="S131" s="10" t="s">
        <v>69</v>
      </c>
      <c r="T131" s="10" t="s">
        <v>65</v>
      </c>
      <c r="U131" s="10">
        <v>3</v>
      </c>
      <c r="V131" s="10">
        <v>0</v>
      </c>
      <c r="W131" s="10">
        <v>3</v>
      </c>
      <c r="X131" s="10" t="s">
        <v>173</v>
      </c>
      <c r="Y131" s="10" t="s">
        <v>183</v>
      </c>
      <c r="Z131" s="10" t="s">
        <v>308</v>
      </c>
      <c r="AA131" s="10" t="s">
        <v>12</v>
      </c>
      <c r="AB131" s="10" t="s">
        <v>13</v>
      </c>
      <c r="AC131" s="10" t="s">
        <v>12</v>
      </c>
      <c r="AD131" s="10" t="s">
        <v>272</v>
      </c>
      <c r="AE131" s="10">
        <v>0</v>
      </c>
      <c r="AF131" s="10">
        <v>0</v>
      </c>
      <c r="AG131" s="10">
        <v>0</v>
      </c>
      <c r="AH131" s="10">
        <v>0</v>
      </c>
      <c r="AI131" s="10">
        <v>0</v>
      </c>
      <c r="AJ131" s="10">
        <v>0</v>
      </c>
    </row>
    <row r="132" spans="1:36" ht="53" x14ac:dyDescent="0.2">
      <c r="A132" s="9" t="s">
        <v>36</v>
      </c>
      <c r="B132" s="9" t="s">
        <v>5</v>
      </c>
      <c r="C132" s="9" t="s">
        <v>8</v>
      </c>
      <c r="D132" s="9">
        <v>3</v>
      </c>
      <c r="E132" s="9">
        <v>5</v>
      </c>
      <c r="F132" s="9">
        <v>3</v>
      </c>
      <c r="G132" s="9" t="s">
        <v>12</v>
      </c>
      <c r="H132" s="9" t="s">
        <v>17</v>
      </c>
      <c r="I132" s="9" t="s">
        <v>125</v>
      </c>
      <c r="J132" s="9">
        <v>3</v>
      </c>
      <c r="K132" s="9" t="s">
        <v>62</v>
      </c>
      <c r="L132" s="9" t="s">
        <v>21</v>
      </c>
      <c r="M132" s="9" t="s">
        <v>13</v>
      </c>
      <c r="N132" s="9" t="s">
        <v>447</v>
      </c>
      <c r="O132" s="9" t="s">
        <v>66</v>
      </c>
      <c r="P132" s="9" t="s">
        <v>65</v>
      </c>
      <c r="Q132" s="9" t="s">
        <v>66</v>
      </c>
      <c r="R132" s="9" t="s">
        <v>64</v>
      </c>
      <c r="S132" s="9" t="s">
        <v>68</v>
      </c>
      <c r="T132" s="9" t="s">
        <v>448</v>
      </c>
      <c r="U132" s="9">
        <v>4</v>
      </c>
      <c r="V132" s="9" t="s">
        <v>26</v>
      </c>
      <c r="W132" s="9">
        <v>2</v>
      </c>
      <c r="X132" s="9" t="s">
        <v>70</v>
      </c>
      <c r="Y132" s="9" t="s">
        <v>259</v>
      </c>
      <c r="Z132" s="9" t="s">
        <v>449</v>
      </c>
      <c r="AA132" s="9" t="s">
        <v>11</v>
      </c>
      <c r="AB132" s="9" t="s">
        <v>12</v>
      </c>
      <c r="AC132" s="9" t="s">
        <v>12</v>
      </c>
      <c r="AD132" s="9" t="s">
        <v>450</v>
      </c>
      <c r="AE132" s="12">
        <v>0</v>
      </c>
      <c r="AF132" s="12">
        <v>0</v>
      </c>
      <c r="AG132" s="12">
        <v>0</v>
      </c>
      <c r="AH132" s="12">
        <v>0</v>
      </c>
      <c r="AI132" s="12">
        <v>0</v>
      </c>
      <c r="AJ132" s="12">
        <v>0</v>
      </c>
    </row>
    <row r="133" spans="1:36" ht="40" x14ac:dyDescent="0.2">
      <c r="A133" s="10" t="s">
        <v>36</v>
      </c>
      <c r="B133" s="10" t="s">
        <v>5</v>
      </c>
      <c r="C133" s="10" t="s">
        <v>7</v>
      </c>
      <c r="D133" s="10">
        <v>3</v>
      </c>
      <c r="E133" s="10">
        <v>3</v>
      </c>
      <c r="F133" s="10">
        <v>3</v>
      </c>
      <c r="G133" s="10" t="s">
        <v>11</v>
      </c>
      <c r="H133" s="10" t="s">
        <v>15</v>
      </c>
      <c r="I133" s="10" t="s">
        <v>386</v>
      </c>
      <c r="J133" s="10">
        <v>4</v>
      </c>
      <c r="K133" s="10" t="s">
        <v>81</v>
      </c>
      <c r="L133" s="10" t="s">
        <v>20</v>
      </c>
      <c r="M133" s="10" t="s">
        <v>11</v>
      </c>
      <c r="N133" s="13">
        <v>0</v>
      </c>
      <c r="O133" s="10" t="s">
        <v>64</v>
      </c>
      <c r="P133" s="10" t="s">
        <v>66</v>
      </c>
      <c r="Q133" s="10" t="s">
        <v>68</v>
      </c>
      <c r="R133" s="10" t="s">
        <v>65</v>
      </c>
      <c r="S133" s="10" t="s">
        <v>67</v>
      </c>
      <c r="T133" s="10" t="s">
        <v>69</v>
      </c>
      <c r="U133" s="10">
        <v>5</v>
      </c>
      <c r="V133" s="10" t="s">
        <v>27</v>
      </c>
      <c r="W133" s="10">
        <v>3</v>
      </c>
      <c r="X133" s="10" t="s">
        <v>186</v>
      </c>
      <c r="Y133" s="10" t="s">
        <v>187</v>
      </c>
      <c r="Z133" s="10" t="s">
        <v>423</v>
      </c>
      <c r="AA133" s="10" t="s">
        <v>11</v>
      </c>
      <c r="AB133" s="10" t="s">
        <v>12</v>
      </c>
      <c r="AC133" s="10" t="s">
        <v>12</v>
      </c>
      <c r="AD133" s="10" t="s">
        <v>162</v>
      </c>
      <c r="AE133" s="13">
        <v>0</v>
      </c>
      <c r="AF133" s="13">
        <v>0</v>
      </c>
      <c r="AG133" s="13">
        <v>0</v>
      </c>
      <c r="AH133" s="13">
        <v>0</v>
      </c>
      <c r="AI133" s="13">
        <v>0</v>
      </c>
      <c r="AJ133" s="13">
        <v>0</v>
      </c>
    </row>
    <row r="134" spans="1:36" ht="53" x14ac:dyDescent="0.2">
      <c r="A134" s="9" t="s">
        <v>36</v>
      </c>
      <c r="B134" s="9" t="s">
        <v>5</v>
      </c>
      <c r="C134" s="9" t="s">
        <v>7</v>
      </c>
      <c r="D134" s="9">
        <v>1</v>
      </c>
      <c r="E134" s="9">
        <v>5</v>
      </c>
      <c r="F134" s="9">
        <v>2</v>
      </c>
      <c r="G134" s="9" t="s">
        <v>11</v>
      </c>
      <c r="H134" s="9" t="s">
        <v>11</v>
      </c>
      <c r="I134" s="12">
        <v>0</v>
      </c>
      <c r="J134" s="9">
        <v>2</v>
      </c>
      <c r="K134" s="9" t="s">
        <v>62</v>
      </c>
      <c r="L134" s="9" t="s">
        <v>20</v>
      </c>
      <c r="M134" s="9" t="s">
        <v>12</v>
      </c>
      <c r="N134" s="9" t="s">
        <v>219</v>
      </c>
      <c r="O134" s="9" t="s">
        <v>67</v>
      </c>
      <c r="P134" s="9" t="s">
        <v>65</v>
      </c>
      <c r="Q134" s="9" t="s">
        <v>68</v>
      </c>
      <c r="R134" s="9" t="s">
        <v>66</v>
      </c>
      <c r="S134" s="9" t="s">
        <v>64</v>
      </c>
      <c r="T134" s="9" t="s">
        <v>69</v>
      </c>
      <c r="U134" s="9">
        <v>5</v>
      </c>
      <c r="V134" s="9" t="s">
        <v>26</v>
      </c>
      <c r="W134" s="9">
        <v>2</v>
      </c>
      <c r="X134" s="9" t="s">
        <v>292</v>
      </c>
      <c r="Y134" s="9" t="s">
        <v>341</v>
      </c>
      <c r="Z134" s="9" t="s">
        <v>451</v>
      </c>
      <c r="AA134" s="9" t="s">
        <v>11</v>
      </c>
      <c r="AB134" s="9" t="s">
        <v>12</v>
      </c>
      <c r="AC134" s="9" t="s">
        <v>12</v>
      </c>
      <c r="AD134" s="9" t="s">
        <v>281</v>
      </c>
      <c r="AE134" s="12">
        <v>0</v>
      </c>
      <c r="AF134" s="12">
        <v>0</v>
      </c>
      <c r="AG134" s="12">
        <v>0</v>
      </c>
      <c r="AH134" s="12">
        <v>0</v>
      </c>
      <c r="AI134" s="12">
        <v>0</v>
      </c>
      <c r="AJ134" s="12">
        <v>0</v>
      </c>
    </row>
    <row r="135" spans="1:36" ht="118" x14ac:dyDescent="0.2">
      <c r="A135" s="10" t="s">
        <v>36</v>
      </c>
      <c r="B135" s="10" t="s">
        <v>2</v>
      </c>
      <c r="C135" s="10" t="s">
        <v>8</v>
      </c>
      <c r="D135" s="10">
        <v>3</v>
      </c>
      <c r="E135" s="10">
        <v>4</v>
      </c>
      <c r="F135" s="10">
        <v>3</v>
      </c>
      <c r="G135" s="10" t="s">
        <v>12</v>
      </c>
      <c r="H135" s="10" t="s">
        <v>15</v>
      </c>
      <c r="I135" s="10" t="s">
        <v>125</v>
      </c>
      <c r="J135" s="10">
        <v>4</v>
      </c>
      <c r="K135" s="10" t="s">
        <v>81</v>
      </c>
      <c r="L135" s="10" t="s">
        <v>22</v>
      </c>
      <c r="M135" s="10" t="s">
        <v>13</v>
      </c>
      <c r="N135" s="13">
        <v>0</v>
      </c>
      <c r="O135" s="10" t="s">
        <v>66</v>
      </c>
      <c r="P135" s="10" t="s">
        <v>64</v>
      </c>
      <c r="Q135" s="10" t="s">
        <v>68</v>
      </c>
      <c r="R135" s="10" t="s">
        <v>65</v>
      </c>
      <c r="S135" s="10" t="s">
        <v>65</v>
      </c>
      <c r="T135" s="10" t="s">
        <v>69</v>
      </c>
      <c r="U135" s="10">
        <v>4</v>
      </c>
      <c r="V135" s="10" t="s">
        <v>27</v>
      </c>
      <c r="W135" s="10">
        <v>2</v>
      </c>
      <c r="X135" s="10" t="s">
        <v>251</v>
      </c>
      <c r="Y135" s="10" t="s">
        <v>155</v>
      </c>
      <c r="Z135" s="10" t="s">
        <v>452</v>
      </c>
      <c r="AA135" s="10" t="s">
        <v>12</v>
      </c>
      <c r="AB135" s="10" t="s">
        <v>12</v>
      </c>
      <c r="AC135" s="10" t="s">
        <v>12</v>
      </c>
      <c r="AD135" s="10" t="s">
        <v>453</v>
      </c>
      <c r="AE135" s="13">
        <v>0</v>
      </c>
      <c r="AF135" s="13">
        <v>0</v>
      </c>
      <c r="AG135" s="13">
        <v>0</v>
      </c>
      <c r="AH135" s="13">
        <v>0</v>
      </c>
      <c r="AI135" s="13">
        <v>0</v>
      </c>
      <c r="AJ135" s="13">
        <v>0</v>
      </c>
    </row>
    <row r="136" spans="1:36" ht="131" x14ac:dyDescent="0.2">
      <c r="A136" s="9" t="s">
        <v>36</v>
      </c>
      <c r="B136" s="9" t="s">
        <v>5</v>
      </c>
      <c r="C136" s="12">
        <v>0</v>
      </c>
      <c r="D136" s="9">
        <v>3</v>
      </c>
      <c r="E136" s="9">
        <v>5</v>
      </c>
      <c r="F136" s="9">
        <v>4</v>
      </c>
      <c r="G136" s="9" t="s">
        <v>12</v>
      </c>
      <c r="H136" s="9" t="s">
        <v>17</v>
      </c>
      <c r="I136" s="9" t="s">
        <v>454</v>
      </c>
      <c r="J136" s="9">
        <v>4</v>
      </c>
      <c r="K136" s="9" t="s">
        <v>81</v>
      </c>
      <c r="L136" s="9" t="s">
        <v>21</v>
      </c>
      <c r="M136" s="9" t="s">
        <v>12</v>
      </c>
      <c r="N136" s="9" t="s">
        <v>63</v>
      </c>
      <c r="O136" s="9" t="s">
        <v>66</v>
      </c>
      <c r="P136" s="9" t="s">
        <v>64</v>
      </c>
      <c r="Q136" s="9" t="s">
        <v>68</v>
      </c>
      <c r="R136" s="9" t="s">
        <v>65</v>
      </c>
      <c r="S136" s="9" t="s">
        <v>67</v>
      </c>
      <c r="T136" s="9" t="s">
        <v>69</v>
      </c>
      <c r="U136" s="9">
        <v>5</v>
      </c>
      <c r="V136" s="9" t="s">
        <v>27</v>
      </c>
      <c r="W136" s="9">
        <v>2</v>
      </c>
      <c r="X136" s="9" t="s">
        <v>241</v>
      </c>
      <c r="Y136" s="9" t="s">
        <v>137</v>
      </c>
      <c r="Z136" s="9" t="s">
        <v>455</v>
      </c>
      <c r="AA136" s="9" t="s">
        <v>11</v>
      </c>
      <c r="AB136" s="9" t="s">
        <v>12</v>
      </c>
      <c r="AC136" s="9" t="s">
        <v>12</v>
      </c>
      <c r="AD136" s="9" t="s">
        <v>73</v>
      </c>
      <c r="AE136" s="12">
        <v>0</v>
      </c>
      <c r="AF136" s="9">
        <v>0</v>
      </c>
      <c r="AG136" s="12">
        <v>0</v>
      </c>
      <c r="AH136" s="9">
        <v>0</v>
      </c>
      <c r="AI136" s="9" t="s">
        <v>456</v>
      </c>
      <c r="AJ136" s="9" t="s">
        <v>415</v>
      </c>
    </row>
    <row r="137" spans="1:36" ht="105" x14ac:dyDescent="0.2">
      <c r="A137" s="10" t="s">
        <v>36</v>
      </c>
      <c r="B137" s="10" t="s">
        <v>2</v>
      </c>
      <c r="C137" s="10" t="s">
        <v>8</v>
      </c>
      <c r="D137" s="10">
        <v>2</v>
      </c>
      <c r="E137" s="10">
        <v>5</v>
      </c>
      <c r="F137" s="10">
        <v>2</v>
      </c>
      <c r="G137" s="10" t="s">
        <v>12</v>
      </c>
      <c r="H137" s="10" t="s">
        <v>17</v>
      </c>
      <c r="I137" s="10" t="s">
        <v>439</v>
      </c>
      <c r="J137" s="10">
        <v>1</v>
      </c>
      <c r="K137" s="10" t="s">
        <v>88</v>
      </c>
      <c r="L137" s="10" t="s">
        <v>20</v>
      </c>
      <c r="M137" s="10" t="s">
        <v>12</v>
      </c>
      <c r="N137" s="10" t="s">
        <v>192</v>
      </c>
      <c r="O137" s="10" t="s">
        <v>64</v>
      </c>
      <c r="P137" s="10" t="s">
        <v>68</v>
      </c>
      <c r="Q137" s="10" t="s">
        <v>65</v>
      </c>
      <c r="R137" s="10" t="s">
        <v>67</v>
      </c>
      <c r="S137" s="10" t="s">
        <v>69</v>
      </c>
      <c r="T137" s="10" t="s">
        <v>66</v>
      </c>
      <c r="U137" s="10">
        <v>5</v>
      </c>
      <c r="V137" s="10" t="s">
        <v>26</v>
      </c>
      <c r="W137" s="10">
        <v>2</v>
      </c>
      <c r="X137" s="10" t="s">
        <v>269</v>
      </c>
      <c r="Y137" s="10" t="s">
        <v>457</v>
      </c>
      <c r="Z137" s="10" t="s">
        <v>374</v>
      </c>
      <c r="AA137" s="10" t="s">
        <v>11</v>
      </c>
      <c r="AB137" s="10" t="s">
        <v>12</v>
      </c>
      <c r="AC137" s="10" t="s">
        <v>12</v>
      </c>
      <c r="AD137" s="10" t="s">
        <v>389</v>
      </c>
      <c r="AE137" s="13">
        <v>0</v>
      </c>
      <c r="AF137" s="13">
        <v>0</v>
      </c>
      <c r="AG137" s="13">
        <v>0</v>
      </c>
      <c r="AH137" s="13">
        <v>0</v>
      </c>
      <c r="AI137" s="13">
        <v>0</v>
      </c>
      <c r="AJ137" s="13">
        <v>0</v>
      </c>
    </row>
    <row r="138" spans="1:36" ht="66" x14ac:dyDescent="0.2">
      <c r="A138" s="9" t="s">
        <v>36</v>
      </c>
      <c r="B138" s="9" t="s">
        <v>2</v>
      </c>
      <c r="C138" s="9" t="s">
        <v>7</v>
      </c>
      <c r="D138" s="9">
        <v>2</v>
      </c>
      <c r="E138" s="9">
        <v>3</v>
      </c>
      <c r="F138" s="9">
        <v>1</v>
      </c>
      <c r="G138" s="9" t="s">
        <v>11</v>
      </c>
      <c r="H138" s="9" t="s">
        <v>15</v>
      </c>
      <c r="I138" s="9" t="s">
        <v>152</v>
      </c>
      <c r="J138" s="9">
        <v>4</v>
      </c>
      <c r="K138" s="9" t="s">
        <v>62</v>
      </c>
      <c r="L138" s="9" t="s">
        <v>20</v>
      </c>
      <c r="M138" s="9" t="s">
        <v>11</v>
      </c>
      <c r="N138" s="12">
        <v>0</v>
      </c>
      <c r="O138" s="9" t="s">
        <v>68</v>
      </c>
      <c r="P138" s="9" t="s">
        <v>67</v>
      </c>
      <c r="Q138" s="9" t="s">
        <v>64</v>
      </c>
      <c r="R138" s="9" t="s">
        <v>66</v>
      </c>
      <c r="S138" s="9" t="s">
        <v>69</v>
      </c>
      <c r="T138" s="9" t="s">
        <v>65</v>
      </c>
      <c r="U138" s="9">
        <v>3</v>
      </c>
      <c r="V138" s="9" t="s">
        <v>27</v>
      </c>
      <c r="W138" s="9">
        <v>1</v>
      </c>
      <c r="X138" s="9" t="s">
        <v>331</v>
      </c>
      <c r="Y138" s="9" t="s">
        <v>92</v>
      </c>
      <c r="Z138" s="9" t="s">
        <v>165</v>
      </c>
      <c r="AA138" s="9" t="s">
        <v>13</v>
      </c>
      <c r="AB138" s="9" t="s">
        <v>12</v>
      </c>
      <c r="AC138" s="9" t="s">
        <v>12</v>
      </c>
      <c r="AD138" s="9" t="s">
        <v>181</v>
      </c>
      <c r="AE138" s="12">
        <v>0</v>
      </c>
      <c r="AF138" s="12">
        <v>0</v>
      </c>
      <c r="AG138" s="12">
        <v>0</v>
      </c>
      <c r="AH138" s="12">
        <v>0</v>
      </c>
      <c r="AI138" s="12">
        <v>0</v>
      </c>
      <c r="AJ138" s="12">
        <v>0</v>
      </c>
    </row>
    <row r="139" spans="1:36" ht="53" x14ac:dyDescent="0.2">
      <c r="A139" s="10" t="s">
        <v>36</v>
      </c>
      <c r="B139" s="10" t="s">
        <v>2</v>
      </c>
      <c r="C139" s="10" t="s">
        <v>7</v>
      </c>
      <c r="D139" s="10">
        <v>1</v>
      </c>
      <c r="E139" s="10">
        <v>2</v>
      </c>
      <c r="F139" s="10">
        <v>2</v>
      </c>
      <c r="G139" s="10" t="s">
        <v>11</v>
      </c>
      <c r="H139" s="10" t="s">
        <v>11</v>
      </c>
      <c r="I139" s="13">
        <v>0</v>
      </c>
      <c r="J139" s="10">
        <v>2</v>
      </c>
      <c r="K139" s="10" t="s">
        <v>103</v>
      </c>
      <c r="L139" s="10" t="s">
        <v>21</v>
      </c>
      <c r="M139" s="10" t="s">
        <v>13</v>
      </c>
      <c r="N139" s="13">
        <v>0</v>
      </c>
      <c r="O139" s="10" t="s">
        <v>64</v>
      </c>
      <c r="P139" s="10" t="s">
        <v>65</v>
      </c>
      <c r="Q139" s="10" t="s">
        <v>68</v>
      </c>
      <c r="R139" s="10" t="s">
        <v>66</v>
      </c>
      <c r="S139" s="10" t="s">
        <v>90</v>
      </c>
      <c r="T139" s="10" t="s">
        <v>67</v>
      </c>
      <c r="U139" s="10">
        <v>4</v>
      </c>
      <c r="V139" s="10" t="s">
        <v>26</v>
      </c>
      <c r="W139" s="10">
        <v>3</v>
      </c>
      <c r="X139" s="10" t="s">
        <v>391</v>
      </c>
      <c r="Y139" s="10" t="s">
        <v>458</v>
      </c>
      <c r="Z139" s="10" t="s">
        <v>423</v>
      </c>
      <c r="AA139" s="10" t="s">
        <v>13</v>
      </c>
      <c r="AB139" s="10" t="s">
        <v>12</v>
      </c>
      <c r="AC139" s="10" t="s">
        <v>12</v>
      </c>
      <c r="AD139" s="10" t="s">
        <v>162</v>
      </c>
      <c r="AE139" s="13">
        <v>0</v>
      </c>
      <c r="AF139" s="13">
        <v>0</v>
      </c>
      <c r="AG139" s="13">
        <v>0</v>
      </c>
      <c r="AH139" s="13">
        <v>0</v>
      </c>
      <c r="AI139" s="13">
        <v>0</v>
      </c>
      <c r="AJ139" s="13">
        <v>0</v>
      </c>
    </row>
    <row r="140" spans="1:36" ht="118" x14ac:dyDescent="0.2">
      <c r="A140" s="9" t="s">
        <v>36</v>
      </c>
      <c r="B140" s="9" t="s">
        <v>5</v>
      </c>
      <c r="C140" s="9" t="s">
        <v>7</v>
      </c>
      <c r="D140" s="9">
        <v>3</v>
      </c>
      <c r="E140" s="9">
        <v>5</v>
      </c>
      <c r="F140" s="9">
        <v>4</v>
      </c>
      <c r="G140" s="9" t="s">
        <v>11</v>
      </c>
      <c r="H140" s="9" t="s">
        <v>11</v>
      </c>
      <c r="I140" s="12">
        <v>0</v>
      </c>
      <c r="J140" s="9">
        <v>3</v>
      </c>
      <c r="K140" s="9" t="s">
        <v>81</v>
      </c>
      <c r="L140" s="9" t="s">
        <v>20</v>
      </c>
      <c r="M140" s="9" t="s">
        <v>13</v>
      </c>
      <c r="N140" s="9" t="s">
        <v>189</v>
      </c>
      <c r="O140" s="9" t="s">
        <v>66</v>
      </c>
      <c r="P140" s="9" t="s">
        <v>65</v>
      </c>
      <c r="Q140" s="9" t="s">
        <v>64</v>
      </c>
      <c r="R140" s="9" t="s">
        <v>68</v>
      </c>
      <c r="S140" s="9" t="s">
        <v>65</v>
      </c>
      <c r="T140" s="9" t="s">
        <v>69</v>
      </c>
      <c r="U140" s="9">
        <v>5</v>
      </c>
      <c r="V140" s="9" t="s">
        <v>26</v>
      </c>
      <c r="W140" s="9">
        <v>2</v>
      </c>
      <c r="X140" s="9" t="s">
        <v>459</v>
      </c>
      <c r="Y140" s="9" t="s">
        <v>155</v>
      </c>
      <c r="Z140" s="9" t="s">
        <v>383</v>
      </c>
      <c r="AA140" s="9" t="s">
        <v>11</v>
      </c>
      <c r="AB140" s="9" t="s">
        <v>12</v>
      </c>
      <c r="AC140" s="9" t="s">
        <v>12</v>
      </c>
      <c r="AD140" s="9" t="s">
        <v>460</v>
      </c>
      <c r="AE140" s="12">
        <v>0</v>
      </c>
      <c r="AF140" s="12">
        <v>0</v>
      </c>
      <c r="AG140" s="9" t="s">
        <v>461</v>
      </c>
      <c r="AH140" s="12" t="s">
        <v>462</v>
      </c>
      <c r="AI140" s="12">
        <v>0</v>
      </c>
      <c r="AJ140" s="12">
        <v>0</v>
      </c>
    </row>
    <row r="141" spans="1:36" ht="66" x14ac:dyDescent="0.2">
      <c r="A141" s="10" t="s">
        <v>36</v>
      </c>
      <c r="B141" s="10" t="s">
        <v>5</v>
      </c>
      <c r="C141" s="10" t="s">
        <v>7</v>
      </c>
      <c r="D141" s="10">
        <v>2</v>
      </c>
      <c r="E141" s="10">
        <v>3</v>
      </c>
      <c r="F141" s="10">
        <v>1</v>
      </c>
      <c r="G141" s="10" t="s">
        <v>11</v>
      </c>
      <c r="H141" s="10" t="s">
        <v>11</v>
      </c>
      <c r="I141" s="13">
        <v>0</v>
      </c>
      <c r="J141" s="10">
        <v>2</v>
      </c>
      <c r="K141" s="10" t="s">
        <v>103</v>
      </c>
      <c r="L141" s="10" t="s">
        <v>21</v>
      </c>
      <c r="M141" s="10" t="s">
        <v>12</v>
      </c>
      <c r="N141" s="10" t="s">
        <v>463</v>
      </c>
      <c r="O141" s="10" t="s">
        <v>68</v>
      </c>
      <c r="P141" s="10" t="s">
        <v>64</v>
      </c>
      <c r="Q141" s="10" t="s">
        <v>65</v>
      </c>
      <c r="R141" s="10" t="s">
        <v>67</v>
      </c>
      <c r="S141" s="10" t="s">
        <v>66</v>
      </c>
      <c r="T141" s="10" t="s">
        <v>69</v>
      </c>
      <c r="U141" s="10">
        <v>4</v>
      </c>
      <c r="V141" s="10" t="s">
        <v>26</v>
      </c>
      <c r="W141" s="10">
        <v>2</v>
      </c>
      <c r="X141" s="10" t="s">
        <v>173</v>
      </c>
      <c r="Y141" s="10" t="s">
        <v>413</v>
      </c>
      <c r="Z141" s="10" t="s">
        <v>425</v>
      </c>
      <c r="AA141" s="10" t="s">
        <v>11</v>
      </c>
      <c r="AB141" s="10" t="s">
        <v>12</v>
      </c>
      <c r="AC141" s="10" t="s">
        <v>12</v>
      </c>
      <c r="AD141" s="10" t="s">
        <v>93</v>
      </c>
      <c r="AE141" s="13">
        <v>0</v>
      </c>
      <c r="AF141" s="13">
        <v>0</v>
      </c>
      <c r="AG141" s="13">
        <v>0</v>
      </c>
      <c r="AH141" s="13">
        <v>0</v>
      </c>
      <c r="AI141" s="13">
        <v>0</v>
      </c>
      <c r="AJ141" s="13">
        <v>0</v>
      </c>
    </row>
    <row r="142" spans="1:36" ht="66" x14ac:dyDescent="0.2">
      <c r="A142" s="9" t="s">
        <v>36</v>
      </c>
      <c r="B142" s="9" t="s">
        <v>5</v>
      </c>
      <c r="C142" s="9" t="s">
        <v>7</v>
      </c>
      <c r="D142" s="9">
        <v>1</v>
      </c>
      <c r="E142" s="9">
        <v>4</v>
      </c>
      <c r="F142" s="9">
        <v>1</v>
      </c>
      <c r="G142" s="9" t="s">
        <v>11</v>
      </c>
      <c r="H142" s="9" t="s">
        <v>17</v>
      </c>
      <c r="I142" s="9" t="s">
        <v>94</v>
      </c>
      <c r="J142" s="9">
        <v>4</v>
      </c>
      <c r="K142" s="9" t="s">
        <v>88</v>
      </c>
      <c r="L142" s="9" t="s">
        <v>20</v>
      </c>
      <c r="M142" s="9" t="s">
        <v>11</v>
      </c>
      <c r="N142" s="12">
        <v>0</v>
      </c>
      <c r="O142" s="9" t="s">
        <v>66</v>
      </c>
      <c r="P142" s="9" t="s">
        <v>68</v>
      </c>
      <c r="Q142" s="9" t="s">
        <v>64</v>
      </c>
      <c r="R142" s="9" t="s">
        <v>67</v>
      </c>
      <c r="S142" s="9" t="s">
        <v>65</v>
      </c>
      <c r="T142" s="9" t="s">
        <v>69</v>
      </c>
      <c r="U142" s="9">
        <v>2</v>
      </c>
      <c r="V142" s="9" t="s">
        <v>27</v>
      </c>
      <c r="W142" s="9">
        <v>1</v>
      </c>
      <c r="X142" s="9" t="s">
        <v>464</v>
      </c>
      <c r="Y142" s="9" t="s">
        <v>92</v>
      </c>
      <c r="Z142" s="9" t="s">
        <v>599</v>
      </c>
      <c r="AA142" s="9" t="s">
        <v>13</v>
      </c>
      <c r="AB142" s="9" t="s">
        <v>12</v>
      </c>
      <c r="AC142" s="9" t="s">
        <v>12</v>
      </c>
      <c r="AD142" s="9" t="s">
        <v>332</v>
      </c>
      <c r="AE142" s="12">
        <v>0</v>
      </c>
      <c r="AF142" s="12">
        <v>0</v>
      </c>
      <c r="AG142" s="12">
        <v>0</v>
      </c>
      <c r="AH142" s="12">
        <v>0</v>
      </c>
      <c r="AI142" s="12">
        <v>0</v>
      </c>
      <c r="AJ142" s="12">
        <v>0</v>
      </c>
    </row>
    <row r="143" spans="1:36" ht="53" x14ac:dyDescent="0.2">
      <c r="A143" s="10" t="s">
        <v>36</v>
      </c>
      <c r="B143" s="10" t="s">
        <v>5</v>
      </c>
      <c r="C143" s="10" t="s">
        <v>8</v>
      </c>
      <c r="D143" s="10">
        <v>5</v>
      </c>
      <c r="E143" s="10">
        <v>5</v>
      </c>
      <c r="F143" s="10">
        <v>5</v>
      </c>
      <c r="G143" s="10" t="s">
        <v>12</v>
      </c>
      <c r="H143" s="10" t="s">
        <v>17</v>
      </c>
      <c r="I143" s="10" t="s">
        <v>465</v>
      </c>
      <c r="J143" s="10">
        <v>5</v>
      </c>
      <c r="K143" s="10" t="s">
        <v>62</v>
      </c>
      <c r="L143" s="10" t="s">
        <v>20</v>
      </c>
      <c r="M143" s="10" t="s">
        <v>11</v>
      </c>
      <c r="N143" s="13">
        <v>0</v>
      </c>
      <c r="O143" s="10" t="s">
        <v>68</v>
      </c>
      <c r="P143" s="10" t="s">
        <v>65</v>
      </c>
      <c r="Q143" s="10" t="s">
        <v>466</v>
      </c>
      <c r="R143" s="10" t="s">
        <v>441</v>
      </c>
      <c r="S143" s="10" t="s">
        <v>441</v>
      </c>
      <c r="T143" s="10" t="s">
        <v>467</v>
      </c>
      <c r="U143" s="10">
        <v>5</v>
      </c>
      <c r="V143" s="10" t="s">
        <v>26</v>
      </c>
      <c r="W143" s="10">
        <v>1</v>
      </c>
      <c r="X143" s="10" t="s">
        <v>100</v>
      </c>
      <c r="Y143" s="10" t="s">
        <v>187</v>
      </c>
      <c r="Z143" s="10" t="s">
        <v>72</v>
      </c>
      <c r="AA143" s="10" t="s">
        <v>11</v>
      </c>
      <c r="AB143" s="10" t="s">
        <v>12</v>
      </c>
      <c r="AC143" s="10" t="s">
        <v>12</v>
      </c>
      <c r="AD143" s="10" t="s">
        <v>401</v>
      </c>
      <c r="AE143" s="10">
        <v>0</v>
      </c>
      <c r="AF143" s="10">
        <v>0</v>
      </c>
      <c r="AG143" s="10">
        <v>0</v>
      </c>
      <c r="AH143" s="10">
        <v>0</v>
      </c>
      <c r="AI143" s="10">
        <v>0</v>
      </c>
      <c r="AJ143" s="10">
        <v>0</v>
      </c>
    </row>
    <row r="144" spans="1:36" ht="40" x14ac:dyDescent="0.2">
      <c r="A144" s="9" t="s">
        <v>36</v>
      </c>
      <c r="B144" s="9" t="s">
        <v>5</v>
      </c>
      <c r="C144" s="9" t="s">
        <v>7</v>
      </c>
      <c r="D144" s="9">
        <v>3</v>
      </c>
      <c r="E144" s="9">
        <v>4</v>
      </c>
      <c r="F144" s="9">
        <v>4</v>
      </c>
      <c r="G144" s="9" t="s">
        <v>11</v>
      </c>
      <c r="H144" s="9" t="s">
        <v>17</v>
      </c>
      <c r="I144" s="9" t="s">
        <v>94</v>
      </c>
      <c r="J144" s="9">
        <v>3</v>
      </c>
      <c r="K144" s="9" t="s">
        <v>88</v>
      </c>
      <c r="L144" s="9" t="s">
        <v>20</v>
      </c>
      <c r="M144" s="9" t="s">
        <v>13</v>
      </c>
      <c r="N144" s="9" t="s">
        <v>89</v>
      </c>
      <c r="O144" s="9" t="s">
        <v>68</v>
      </c>
      <c r="P144" s="9" t="s">
        <v>65</v>
      </c>
      <c r="Q144" s="9" t="s">
        <v>64</v>
      </c>
      <c r="R144" s="9" t="s">
        <v>67</v>
      </c>
      <c r="S144" s="9" t="s">
        <v>66</v>
      </c>
      <c r="T144" s="9" t="s">
        <v>69</v>
      </c>
      <c r="U144" s="9">
        <v>4</v>
      </c>
      <c r="V144" s="9">
        <v>0</v>
      </c>
      <c r="W144" s="9">
        <v>3</v>
      </c>
      <c r="X144" s="9" t="s">
        <v>468</v>
      </c>
      <c r="Y144" s="9" t="s">
        <v>187</v>
      </c>
      <c r="Z144" s="9" t="s">
        <v>590</v>
      </c>
      <c r="AA144" s="9" t="s">
        <v>11</v>
      </c>
      <c r="AB144" s="9" t="s">
        <v>12</v>
      </c>
      <c r="AC144" s="9" t="s">
        <v>12</v>
      </c>
      <c r="AD144" s="9" t="s">
        <v>166</v>
      </c>
      <c r="AE144" s="9">
        <v>0</v>
      </c>
      <c r="AF144" s="9">
        <v>0</v>
      </c>
      <c r="AG144" s="9">
        <v>0</v>
      </c>
      <c r="AH144" s="9">
        <v>0</v>
      </c>
      <c r="AI144" s="9" t="s">
        <v>469</v>
      </c>
      <c r="AJ144" s="9" t="s">
        <v>470</v>
      </c>
    </row>
    <row r="145" spans="1:36" ht="105" x14ac:dyDescent="0.2">
      <c r="A145" s="10" t="s">
        <v>36</v>
      </c>
      <c r="B145" s="10" t="s">
        <v>5</v>
      </c>
      <c r="C145" s="10" t="s">
        <v>7</v>
      </c>
      <c r="D145" s="10">
        <v>3</v>
      </c>
      <c r="E145" s="10">
        <v>5</v>
      </c>
      <c r="F145" s="10">
        <v>3</v>
      </c>
      <c r="G145" s="10" t="s">
        <v>12</v>
      </c>
      <c r="H145" s="10" t="s">
        <v>15</v>
      </c>
      <c r="I145" s="10" t="s">
        <v>94</v>
      </c>
      <c r="J145" s="10">
        <v>3</v>
      </c>
      <c r="K145" s="10" t="s">
        <v>88</v>
      </c>
      <c r="L145" s="10" t="s">
        <v>21</v>
      </c>
      <c r="M145" s="10" t="s">
        <v>12</v>
      </c>
      <c r="N145" s="10" t="s">
        <v>390</v>
      </c>
      <c r="O145" s="10" t="s">
        <v>68</v>
      </c>
      <c r="P145" s="10" t="s">
        <v>67</v>
      </c>
      <c r="Q145" s="10" t="s">
        <v>65</v>
      </c>
      <c r="R145" s="10" t="s">
        <v>64</v>
      </c>
      <c r="S145" s="10" t="s">
        <v>66</v>
      </c>
      <c r="T145" s="10" t="s">
        <v>69</v>
      </c>
      <c r="U145" s="10">
        <v>4</v>
      </c>
      <c r="V145" s="10" t="s">
        <v>26</v>
      </c>
      <c r="W145" s="10">
        <v>3</v>
      </c>
      <c r="X145" s="10" t="s">
        <v>269</v>
      </c>
      <c r="Y145" s="10" t="s">
        <v>244</v>
      </c>
      <c r="Z145" s="10" t="s">
        <v>471</v>
      </c>
      <c r="AA145" s="10" t="s">
        <v>11</v>
      </c>
      <c r="AB145" s="10" t="s">
        <v>12</v>
      </c>
      <c r="AC145" s="10" t="s">
        <v>12</v>
      </c>
      <c r="AD145" s="10" t="s">
        <v>272</v>
      </c>
      <c r="AE145" s="10">
        <v>0</v>
      </c>
      <c r="AF145" s="10">
        <v>0</v>
      </c>
      <c r="AG145" s="10">
        <v>0</v>
      </c>
      <c r="AH145" s="10">
        <v>0</v>
      </c>
      <c r="AI145" s="10">
        <v>0</v>
      </c>
      <c r="AJ145" s="10">
        <v>0</v>
      </c>
    </row>
    <row r="146" spans="1:36" ht="66" x14ac:dyDescent="0.2">
      <c r="A146" s="9" t="s">
        <v>36</v>
      </c>
      <c r="B146" s="9" t="s">
        <v>5</v>
      </c>
      <c r="C146" s="9" t="s">
        <v>7</v>
      </c>
      <c r="D146" s="9">
        <v>4</v>
      </c>
      <c r="E146" s="9">
        <v>4</v>
      </c>
      <c r="F146" s="9">
        <v>3</v>
      </c>
      <c r="G146" s="9" t="s">
        <v>12</v>
      </c>
      <c r="H146" s="9" t="s">
        <v>17</v>
      </c>
      <c r="I146" s="9" t="s">
        <v>472</v>
      </c>
      <c r="J146" s="9">
        <v>4</v>
      </c>
      <c r="K146" s="9" t="s">
        <v>382</v>
      </c>
      <c r="L146" s="9" t="s">
        <v>21</v>
      </c>
      <c r="M146" s="9" t="s">
        <v>12</v>
      </c>
      <c r="N146" s="12">
        <v>0</v>
      </c>
      <c r="O146" s="9" t="s">
        <v>65</v>
      </c>
      <c r="P146" s="9" t="s">
        <v>68</v>
      </c>
      <c r="Q146" s="9" t="s">
        <v>64</v>
      </c>
      <c r="R146" s="9" t="s">
        <v>66</v>
      </c>
      <c r="S146" s="9" t="s">
        <v>69</v>
      </c>
      <c r="T146" s="9" t="s">
        <v>67</v>
      </c>
      <c r="U146" s="9">
        <v>4</v>
      </c>
      <c r="V146" s="9" t="s">
        <v>26</v>
      </c>
      <c r="W146" s="9">
        <v>3</v>
      </c>
      <c r="X146" s="9" t="s">
        <v>473</v>
      </c>
      <c r="Y146" s="9" t="s">
        <v>351</v>
      </c>
      <c r="Z146" s="9" t="s">
        <v>474</v>
      </c>
      <c r="AA146" s="9" t="s">
        <v>11</v>
      </c>
      <c r="AB146" s="9" t="s">
        <v>12</v>
      </c>
      <c r="AC146" s="9" t="s">
        <v>12</v>
      </c>
      <c r="AD146" s="9" t="s">
        <v>229</v>
      </c>
      <c r="AE146" s="9" t="s">
        <v>475</v>
      </c>
      <c r="AF146" s="9" t="s">
        <v>208</v>
      </c>
      <c r="AG146" s="9" t="s">
        <v>476</v>
      </c>
      <c r="AH146" s="9" t="s">
        <v>477</v>
      </c>
      <c r="AI146" s="9" t="s">
        <v>478</v>
      </c>
      <c r="AJ146" s="9" t="s">
        <v>479</v>
      </c>
    </row>
    <row r="147" spans="1:36" ht="79" x14ac:dyDescent="0.2">
      <c r="A147" s="10" t="s">
        <v>36</v>
      </c>
      <c r="B147" s="10" t="s">
        <v>3</v>
      </c>
      <c r="C147" s="10" t="s">
        <v>8</v>
      </c>
      <c r="D147" s="10">
        <v>3</v>
      </c>
      <c r="E147" s="10">
        <v>3</v>
      </c>
      <c r="F147" s="10">
        <v>3</v>
      </c>
      <c r="G147" s="10" t="s">
        <v>11</v>
      </c>
      <c r="H147" s="10" t="s">
        <v>17</v>
      </c>
      <c r="I147" s="10" t="s">
        <v>94</v>
      </c>
      <c r="J147" s="10">
        <v>3</v>
      </c>
      <c r="K147" s="10" t="s">
        <v>103</v>
      </c>
      <c r="L147" s="10" t="s">
        <v>20</v>
      </c>
      <c r="M147" s="10" t="s">
        <v>12</v>
      </c>
      <c r="N147" s="10" t="s">
        <v>258</v>
      </c>
      <c r="O147" s="10" t="s">
        <v>66</v>
      </c>
      <c r="P147" s="10" t="s">
        <v>68</v>
      </c>
      <c r="Q147" s="10" t="s">
        <v>65</v>
      </c>
      <c r="R147" s="10" t="s">
        <v>64</v>
      </c>
      <c r="S147" s="10" t="s">
        <v>69</v>
      </c>
      <c r="T147" s="10" t="s">
        <v>67</v>
      </c>
      <c r="U147" s="10">
        <v>4</v>
      </c>
      <c r="V147" s="10" t="s">
        <v>26</v>
      </c>
      <c r="W147" s="10">
        <v>3</v>
      </c>
      <c r="X147" s="10" t="s">
        <v>163</v>
      </c>
      <c r="Y147" s="10" t="s">
        <v>278</v>
      </c>
      <c r="Z147" s="10" t="s">
        <v>480</v>
      </c>
      <c r="AA147" s="10" t="s">
        <v>12</v>
      </c>
      <c r="AB147" s="10" t="s">
        <v>12</v>
      </c>
      <c r="AC147" s="10" t="s">
        <v>12</v>
      </c>
      <c r="AD147" s="10" t="s">
        <v>426</v>
      </c>
      <c r="AE147" s="13">
        <v>0</v>
      </c>
      <c r="AF147" s="13">
        <v>0</v>
      </c>
      <c r="AG147" s="13">
        <v>0</v>
      </c>
      <c r="AH147" s="13">
        <v>0</v>
      </c>
      <c r="AI147" s="13">
        <v>0</v>
      </c>
      <c r="AJ147" s="13">
        <v>0</v>
      </c>
    </row>
    <row r="148" spans="1:36" ht="105" x14ac:dyDescent="0.2">
      <c r="A148" s="9" t="s">
        <v>36</v>
      </c>
      <c r="B148" s="9" t="s">
        <v>5</v>
      </c>
      <c r="C148" s="9" t="s">
        <v>7</v>
      </c>
      <c r="D148" s="9">
        <v>5</v>
      </c>
      <c r="E148" s="9">
        <v>5</v>
      </c>
      <c r="F148" s="9">
        <v>5</v>
      </c>
      <c r="G148" s="9" t="s">
        <v>11</v>
      </c>
      <c r="H148" s="9" t="s">
        <v>11</v>
      </c>
      <c r="I148" s="12">
        <v>0</v>
      </c>
      <c r="J148" s="9">
        <v>4</v>
      </c>
      <c r="K148" s="9" t="s">
        <v>81</v>
      </c>
      <c r="L148" s="9" t="s">
        <v>20</v>
      </c>
      <c r="M148" s="9" t="s">
        <v>13</v>
      </c>
      <c r="N148" s="12">
        <v>0</v>
      </c>
      <c r="O148" s="9" t="s">
        <v>65</v>
      </c>
      <c r="P148" s="9" t="s">
        <v>67</v>
      </c>
      <c r="Q148" s="9" t="s">
        <v>64</v>
      </c>
      <c r="R148" s="9" t="s">
        <v>66</v>
      </c>
      <c r="S148" s="9" t="s">
        <v>68</v>
      </c>
      <c r="T148" s="9" t="s">
        <v>69</v>
      </c>
      <c r="U148" s="9">
        <v>5</v>
      </c>
      <c r="V148" s="9" t="s">
        <v>26</v>
      </c>
      <c r="W148" s="9">
        <v>1</v>
      </c>
      <c r="X148" s="9" t="s">
        <v>173</v>
      </c>
      <c r="Y148" s="9" t="s">
        <v>481</v>
      </c>
      <c r="Z148" s="9" t="s">
        <v>392</v>
      </c>
      <c r="AA148" s="9" t="s">
        <v>11</v>
      </c>
      <c r="AB148" s="9" t="s">
        <v>12</v>
      </c>
      <c r="AC148" s="9" t="s">
        <v>12</v>
      </c>
      <c r="AD148" s="9" t="s">
        <v>113</v>
      </c>
      <c r="AE148" s="12">
        <v>0</v>
      </c>
      <c r="AF148" s="12">
        <v>0</v>
      </c>
      <c r="AG148" s="12">
        <v>0</v>
      </c>
      <c r="AH148" s="12">
        <v>0</v>
      </c>
      <c r="AI148" s="12">
        <v>0</v>
      </c>
      <c r="AJ148" s="12">
        <v>0</v>
      </c>
    </row>
    <row r="149" spans="1:36" ht="79" x14ac:dyDescent="0.2">
      <c r="A149" s="10" t="s">
        <v>36</v>
      </c>
      <c r="B149" s="10" t="s">
        <v>5</v>
      </c>
      <c r="C149" s="10" t="s">
        <v>7</v>
      </c>
      <c r="D149" s="10">
        <v>2</v>
      </c>
      <c r="E149" s="10">
        <v>4</v>
      </c>
      <c r="F149" s="10">
        <v>1</v>
      </c>
      <c r="G149" s="10" t="s">
        <v>11</v>
      </c>
      <c r="H149" s="10" t="s">
        <v>11</v>
      </c>
      <c r="I149" s="13">
        <v>0</v>
      </c>
      <c r="J149" s="10">
        <v>2</v>
      </c>
      <c r="K149" s="10" t="s">
        <v>81</v>
      </c>
      <c r="L149" s="10" t="s">
        <v>21</v>
      </c>
      <c r="M149" s="10" t="s">
        <v>12</v>
      </c>
      <c r="N149" s="10" t="s">
        <v>219</v>
      </c>
      <c r="O149" s="10" t="s">
        <v>65</v>
      </c>
      <c r="P149" s="10" t="s">
        <v>68</v>
      </c>
      <c r="Q149" s="10" t="s">
        <v>64</v>
      </c>
      <c r="R149" s="10" t="s">
        <v>67</v>
      </c>
      <c r="S149" s="10" t="s">
        <v>66</v>
      </c>
      <c r="T149" s="10" t="s">
        <v>69</v>
      </c>
      <c r="U149" s="10">
        <v>5</v>
      </c>
      <c r="V149" s="10" t="s">
        <v>26</v>
      </c>
      <c r="W149" s="10">
        <v>3</v>
      </c>
      <c r="X149" s="10" t="s">
        <v>131</v>
      </c>
      <c r="Y149" s="10" t="s">
        <v>286</v>
      </c>
      <c r="Z149" s="10" t="s">
        <v>265</v>
      </c>
      <c r="AA149" s="10" t="s">
        <v>12</v>
      </c>
      <c r="AB149" s="10" t="s">
        <v>12</v>
      </c>
      <c r="AC149" s="10" t="s">
        <v>12</v>
      </c>
      <c r="AD149" s="10" t="s">
        <v>86</v>
      </c>
      <c r="AE149" s="13">
        <v>0</v>
      </c>
      <c r="AF149" s="13">
        <v>0</v>
      </c>
      <c r="AG149" s="13">
        <v>0</v>
      </c>
      <c r="AH149" s="13">
        <v>0</v>
      </c>
      <c r="AI149" s="13">
        <v>0</v>
      </c>
      <c r="AJ149" s="13">
        <v>0</v>
      </c>
    </row>
    <row r="150" spans="1:36" ht="40" x14ac:dyDescent="0.2">
      <c r="A150" s="9" t="s">
        <v>36</v>
      </c>
      <c r="B150" s="9" t="s">
        <v>4</v>
      </c>
      <c r="C150" s="9" t="s">
        <v>7</v>
      </c>
      <c r="D150" s="9">
        <v>2</v>
      </c>
      <c r="E150" s="9">
        <v>3</v>
      </c>
      <c r="F150" s="9">
        <v>1</v>
      </c>
      <c r="G150" s="9" t="s">
        <v>11</v>
      </c>
      <c r="H150" s="9" t="s">
        <v>11</v>
      </c>
      <c r="I150" s="12">
        <v>0</v>
      </c>
      <c r="J150" s="9">
        <v>2</v>
      </c>
      <c r="K150" s="9" t="s">
        <v>103</v>
      </c>
      <c r="L150" s="9" t="s">
        <v>22</v>
      </c>
      <c r="M150" s="9" t="s">
        <v>13</v>
      </c>
      <c r="N150" s="12">
        <v>0</v>
      </c>
      <c r="O150" s="9" t="s">
        <v>68</v>
      </c>
      <c r="P150" s="9" t="s">
        <v>64</v>
      </c>
      <c r="Q150" s="9" t="s">
        <v>65</v>
      </c>
      <c r="R150" s="9" t="s">
        <v>67</v>
      </c>
      <c r="S150" s="9" t="s">
        <v>66</v>
      </c>
      <c r="T150" s="9" t="s">
        <v>69</v>
      </c>
      <c r="U150" s="9">
        <v>4</v>
      </c>
      <c r="V150" s="9" t="s">
        <v>29</v>
      </c>
      <c r="W150" s="9">
        <v>2</v>
      </c>
      <c r="X150" s="9" t="s">
        <v>190</v>
      </c>
      <c r="Y150" s="9" t="s">
        <v>183</v>
      </c>
      <c r="Z150" s="9" t="s">
        <v>85</v>
      </c>
      <c r="AA150" s="9" t="s">
        <v>12</v>
      </c>
      <c r="AB150" s="9" t="s">
        <v>12</v>
      </c>
      <c r="AC150" s="9" t="s">
        <v>13</v>
      </c>
      <c r="AD150" s="9" t="s">
        <v>86</v>
      </c>
      <c r="AE150" s="12">
        <v>0</v>
      </c>
      <c r="AF150" s="12">
        <v>0</v>
      </c>
      <c r="AG150" s="12">
        <v>0</v>
      </c>
      <c r="AH150" s="12">
        <v>0</v>
      </c>
      <c r="AI150" s="12">
        <v>0</v>
      </c>
      <c r="AJ150" s="12">
        <v>0</v>
      </c>
    </row>
    <row r="151" spans="1:36" ht="66" x14ac:dyDescent="0.2">
      <c r="A151" s="10" t="s">
        <v>36</v>
      </c>
      <c r="B151" s="10" t="s">
        <v>5</v>
      </c>
      <c r="C151" s="10" t="s">
        <v>7</v>
      </c>
      <c r="D151" s="10">
        <v>2</v>
      </c>
      <c r="E151" s="10">
        <v>4</v>
      </c>
      <c r="F151" s="10">
        <v>1</v>
      </c>
      <c r="G151" s="10" t="s">
        <v>11</v>
      </c>
      <c r="H151" s="10" t="s">
        <v>16</v>
      </c>
      <c r="I151" s="10" t="s">
        <v>119</v>
      </c>
      <c r="J151" s="10">
        <v>3</v>
      </c>
      <c r="K151" s="10" t="s">
        <v>167</v>
      </c>
      <c r="L151" s="10" t="s">
        <v>21</v>
      </c>
      <c r="M151" s="10" t="s">
        <v>13</v>
      </c>
      <c r="N151" s="10" t="s">
        <v>405</v>
      </c>
      <c r="O151" s="10" t="s">
        <v>64</v>
      </c>
      <c r="P151" s="10" t="s">
        <v>68</v>
      </c>
      <c r="Q151" s="10" t="s">
        <v>65</v>
      </c>
      <c r="R151" s="10" t="s">
        <v>67</v>
      </c>
      <c r="S151" s="10" t="s">
        <v>66</v>
      </c>
      <c r="T151" s="10" t="s">
        <v>69</v>
      </c>
      <c r="U151" s="10">
        <v>3</v>
      </c>
      <c r="V151" s="10" t="s">
        <v>26</v>
      </c>
      <c r="W151" s="10">
        <v>1</v>
      </c>
      <c r="X151" s="10" t="s">
        <v>77</v>
      </c>
      <c r="Y151" s="10" t="s">
        <v>482</v>
      </c>
      <c r="Z151" s="10" t="s">
        <v>483</v>
      </c>
      <c r="AA151" s="10" t="s">
        <v>13</v>
      </c>
      <c r="AB151" s="10" t="s">
        <v>12</v>
      </c>
      <c r="AC151" s="10" t="s">
        <v>12</v>
      </c>
      <c r="AD151" s="10" t="s">
        <v>86</v>
      </c>
      <c r="AE151" s="13">
        <v>0</v>
      </c>
      <c r="AF151" s="13">
        <v>0</v>
      </c>
      <c r="AG151" s="13">
        <v>0</v>
      </c>
      <c r="AH151" s="13">
        <v>0</v>
      </c>
      <c r="AI151" s="13">
        <v>0</v>
      </c>
      <c r="AJ151" s="13">
        <v>0</v>
      </c>
    </row>
    <row r="152" spans="1:36" ht="66" x14ac:dyDescent="0.2">
      <c r="A152" s="11" t="s">
        <v>36</v>
      </c>
      <c r="B152" s="11" t="s">
        <v>3</v>
      </c>
      <c r="C152" s="11" t="s">
        <v>7</v>
      </c>
      <c r="D152" s="11">
        <v>2</v>
      </c>
      <c r="E152" s="11">
        <v>4</v>
      </c>
      <c r="F152" s="11">
        <v>2</v>
      </c>
      <c r="G152" s="11" t="s">
        <v>11</v>
      </c>
      <c r="H152" s="11" t="s">
        <v>11</v>
      </c>
      <c r="I152" s="14">
        <v>0</v>
      </c>
      <c r="J152" s="11">
        <v>4</v>
      </c>
      <c r="K152" s="11" t="s">
        <v>81</v>
      </c>
      <c r="L152" s="11" t="s">
        <v>20</v>
      </c>
      <c r="M152" s="11" t="s">
        <v>11</v>
      </c>
      <c r="N152" s="14">
        <v>0</v>
      </c>
      <c r="O152" s="11" t="s">
        <v>67</v>
      </c>
      <c r="P152" s="11" t="s">
        <v>66</v>
      </c>
      <c r="Q152" s="11" t="s">
        <v>64</v>
      </c>
      <c r="R152" s="11" t="s">
        <v>65</v>
      </c>
      <c r="S152" s="11" t="s">
        <v>68</v>
      </c>
      <c r="T152" s="11" t="s">
        <v>69</v>
      </c>
      <c r="U152" s="11">
        <v>3</v>
      </c>
      <c r="V152" s="11" t="s">
        <v>27</v>
      </c>
      <c r="W152" s="11">
        <v>1</v>
      </c>
      <c r="X152" s="11" t="s">
        <v>116</v>
      </c>
      <c r="Y152" s="11" t="s">
        <v>187</v>
      </c>
      <c r="Z152" s="11" t="s">
        <v>85</v>
      </c>
      <c r="AA152" s="11" t="s">
        <v>11</v>
      </c>
      <c r="AB152" s="11" t="s">
        <v>12</v>
      </c>
      <c r="AC152" s="11" t="s">
        <v>12</v>
      </c>
      <c r="AD152" s="11" t="s">
        <v>484</v>
      </c>
      <c r="AE152" s="14">
        <v>0</v>
      </c>
      <c r="AF152" s="14">
        <v>0</v>
      </c>
      <c r="AG152" s="14">
        <v>0</v>
      </c>
      <c r="AH152" s="14">
        <v>0</v>
      </c>
      <c r="AI152" s="14">
        <v>0</v>
      </c>
      <c r="AJ152" s="14">
        <v>0</v>
      </c>
    </row>
  </sheetData>
  <autoFilter ref="A1:AJ152" xr:uid="{FF6F5295-0EF1-42C8-8AA7-25AB095B2A1E}"/>
  <phoneticPr fontId="8" type="noConversion"/>
  <pageMargins left="0.70000000000000007" right="0.70000000000000007" top="0.75" bottom="0.75" header="0.30000000000000004" footer="0.30000000000000004"/>
  <pageSetup paperSize="0" scale="0" fitToWidth="0" fitToHeight="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6443-3625-470F-AE8D-D7ADB69CC577}">
  <dimension ref="A3:E6"/>
  <sheetViews>
    <sheetView topLeftCell="A8" workbookViewId="0">
      <selection activeCell="A22" sqref="A22"/>
    </sheetView>
  </sheetViews>
  <sheetFormatPr baseColWidth="10" defaultColWidth="11.83203125" defaultRowHeight="15" x14ac:dyDescent="0.2"/>
  <cols>
    <col min="1" max="1" width="30.5" bestFit="1" customWidth="1"/>
    <col min="2" max="2" width="15.83203125" bestFit="1" customWidth="1"/>
    <col min="3" max="3" width="11.83203125" customWidth="1"/>
    <col min="4" max="4" width="38.5" bestFit="1" customWidth="1"/>
    <col min="5" max="5" width="11.83203125" style="25"/>
  </cols>
  <sheetData>
    <row r="3" spans="1:5" x14ac:dyDescent="0.2">
      <c r="A3" s="18" t="s">
        <v>37</v>
      </c>
      <c r="B3" s="19" t="s">
        <v>574</v>
      </c>
      <c r="E3" s="25" t="str">
        <f>A3&amp;" ? "</f>
        <v xml:space="preserve">Êtes-vous ? </v>
      </c>
    </row>
    <row r="4" spans="1:5" x14ac:dyDescent="0.2">
      <c r="A4" s="20" t="s">
        <v>35</v>
      </c>
      <c r="B4" s="19">
        <v>61</v>
      </c>
      <c r="D4" t="str">
        <f>A4&amp;" "&amp;"(n="&amp;B4&amp;")"</f>
        <v>Étudiant(e) sage-femme en 5e année (n=61)</v>
      </c>
      <c r="E4" s="25">
        <f>B4/B6</f>
        <v>0.40397350993377484</v>
      </c>
    </row>
    <row r="5" spans="1:5" x14ac:dyDescent="0.2">
      <c r="A5" s="21" t="s">
        <v>36</v>
      </c>
      <c r="B5" s="22">
        <v>90</v>
      </c>
      <c r="D5" t="str">
        <f>A5&amp;" "&amp;"(n="&amp;B5&amp;")"</f>
        <v>Sage-femme diplômé(e) (n=90)</v>
      </c>
      <c r="E5" s="25">
        <f>B5/B6</f>
        <v>0.59602649006622521</v>
      </c>
    </row>
    <row r="6" spans="1:5" x14ac:dyDescent="0.2">
      <c r="A6" s="23" t="s">
        <v>6</v>
      </c>
      <c r="B6" s="24">
        <v>151</v>
      </c>
      <c r="E6" s="25">
        <f>SUM(E4:E5)</f>
        <v>1</v>
      </c>
    </row>
  </sheetData>
  <pageMargins left="0.70000000000000007" right="0.70000000000000007" top="0.75" bottom="0.75" header="0.30000000000000004" footer="0.30000000000000004"/>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1512-416A-4DD4-8951-75E62274D24E}">
  <dimension ref="A2:E8"/>
  <sheetViews>
    <sheetView topLeftCell="C11" workbookViewId="0">
      <selection activeCell="D30" sqref="D30"/>
    </sheetView>
  </sheetViews>
  <sheetFormatPr baseColWidth="10" defaultColWidth="11.83203125" defaultRowHeight="15" x14ac:dyDescent="0.2"/>
  <cols>
    <col min="1" max="1" width="19.1640625" bestFit="1" customWidth="1"/>
    <col min="2" max="2" width="30.5" customWidth="1"/>
    <col min="3" max="3" width="11.83203125" customWidth="1"/>
    <col min="4" max="4" width="20.5" customWidth="1"/>
    <col min="5" max="5" width="24.1640625" customWidth="1"/>
  </cols>
  <sheetData>
    <row r="2" spans="1:5" x14ac:dyDescent="0.2">
      <c r="E2" s="25"/>
    </row>
    <row r="3" spans="1:5" s="59" customFormat="1" ht="60" customHeight="1" x14ac:dyDescent="0.2">
      <c r="A3" s="57" t="s">
        <v>0</v>
      </c>
      <c r="B3" s="58" t="s">
        <v>1</v>
      </c>
      <c r="D3"/>
      <c r="E3" s="48" t="str">
        <f>Feuil1!B1</f>
        <v>Q2 : Si vous avez coché sage-femme diplômé(e), depuis combien de temps exercez-vous ?</v>
      </c>
    </row>
    <row r="4" spans="1:5" x14ac:dyDescent="0.2">
      <c r="A4" s="3" t="s">
        <v>2</v>
      </c>
      <c r="B4" s="2">
        <v>9</v>
      </c>
      <c r="D4" t="str">
        <f>A4&amp;" "&amp;"(n="&amp;B4&amp;")"</f>
        <v>Moins de 2 ans (n=9)</v>
      </c>
      <c r="E4" s="25">
        <f>B4/B$8</f>
        <v>0.1</v>
      </c>
    </row>
    <row r="5" spans="1:5" x14ac:dyDescent="0.2">
      <c r="A5" s="4" t="s">
        <v>3</v>
      </c>
      <c r="B5" s="5">
        <v>7</v>
      </c>
      <c r="D5" t="str">
        <f>A5&amp;" "&amp;"(n="&amp;B5&amp;")"</f>
        <v>2 à 5 ans (n=7)</v>
      </c>
      <c r="E5" s="25">
        <f>B5/B$8</f>
        <v>7.7777777777777779E-2</v>
      </c>
    </row>
    <row r="6" spans="1:5" x14ac:dyDescent="0.2">
      <c r="A6" s="4" t="s">
        <v>4</v>
      </c>
      <c r="B6" s="5">
        <v>15</v>
      </c>
      <c r="D6" t="str">
        <f>A6&amp;" "&amp;"(n="&amp;B6&amp;")"</f>
        <v>5 à 10 ans (n=15)</v>
      </c>
      <c r="E6" s="25">
        <f>B6/B$8</f>
        <v>0.16666666666666666</v>
      </c>
    </row>
    <row r="7" spans="1:5" x14ac:dyDescent="0.2">
      <c r="A7" s="4" t="s">
        <v>5</v>
      </c>
      <c r="B7" s="5">
        <v>59</v>
      </c>
      <c r="D7" t="str">
        <f>A7&amp;" "&amp;"(n="&amp;B7&amp;")"</f>
        <v>Plus de 10 ans (n=59)</v>
      </c>
      <c r="E7" s="25">
        <f>B7/B$8</f>
        <v>0.65555555555555556</v>
      </c>
    </row>
    <row r="8" spans="1:5" x14ac:dyDescent="0.2">
      <c r="A8" s="6" t="s">
        <v>6</v>
      </c>
      <c r="B8" s="7">
        <v>90</v>
      </c>
      <c r="E8" s="25">
        <f>SUM(E4:E7)</f>
        <v>1</v>
      </c>
    </row>
  </sheetData>
  <pageMargins left="0.70000000000000007" right="0.70000000000000007" top="0.75" bottom="0.75" header="0.30000000000000004" footer="0.30000000000000004"/>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8828-23E6-4A37-B53D-35BF5A8D4DFF}">
  <dimension ref="A3:E7"/>
  <sheetViews>
    <sheetView topLeftCell="C9" workbookViewId="0">
      <selection activeCell="B21" sqref="B21"/>
    </sheetView>
  </sheetViews>
  <sheetFormatPr baseColWidth="10" defaultColWidth="11.83203125" defaultRowHeight="15" x14ac:dyDescent="0.2"/>
  <cols>
    <col min="1" max="1" width="32.6640625" bestFit="1" customWidth="1"/>
    <col min="2" max="2" width="27.83203125" customWidth="1"/>
    <col min="3" max="3" width="11.83203125" customWidth="1"/>
    <col min="4" max="4" width="17.1640625" customWidth="1"/>
    <col min="5" max="5" width="22.83203125" customWidth="1"/>
  </cols>
  <sheetData>
    <row r="3" spans="1:5" s="31" customFormat="1" ht="32" x14ac:dyDescent="0.2">
      <c r="A3" s="60" t="s">
        <v>38</v>
      </c>
      <c r="B3" s="61" t="s">
        <v>577</v>
      </c>
      <c r="E3" s="48" t="str">
        <f>A3</f>
        <v>Dans quelle structure exercez-vous ?</v>
      </c>
    </row>
    <row r="4" spans="1:5" x14ac:dyDescent="0.2">
      <c r="A4" s="20" t="s">
        <v>9</v>
      </c>
      <c r="B4" s="19">
        <v>3</v>
      </c>
      <c r="D4" t="str">
        <f>A4&amp;" "&amp;"(n="&amp;B4&amp;")"</f>
        <v>Mixte (n=3)</v>
      </c>
      <c r="E4" s="25">
        <f>B4/B$7</f>
        <v>3.3333333333333333E-2</v>
      </c>
    </row>
    <row r="5" spans="1:5" x14ac:dyDescent="0.2">
      <c r="A5" s="21" t="s">
        <v>7</v>
      </c>
      <c r="B5" s="22">
        <v>57</v>
      </c>
      <c r="D5" t="str">
        <f>A5&amp;" "&amp;"(n="&amp;B5&amp;")"</f>
        <v>Hospitalier (n=57)</v>
      </c>
      <c r="E5" s="25">
        <f>B5/B$7</f>
        <v>0.6333333333333333</v>
      </c>
    </row>
    <row r="6" spans="1:5" x14ac:dyDescent="0.2">
      <c r="A6" s="21" t="s">
        <v>8</v>
      </c>
      <c r="B6" s="22">
        <v>30</v>
      </c>
      <c r="D6" t="str">
        <f>A6&amp;" "&amp;"(n="&amp;B6&amp;")"</f>
        <v>Libéral (n=30)</v>
      </c>
      <c r="E6" s="25">
        <f>B6/B$7</f>
        <v>0.33333333333333331</v>
      </c>
    </row>
    <row r="7" spans="1:5" x14ac:dyDescent="0.2">
      <c r="A7" s="23" t="s">
        <v>6</v>
      </c>
      <c r="B7" s="24">
        <v>90</v>
      </c>
      <c r="E7" s="25">
        <f>SUM(E4:E6)</f>
        <v>1</v>
      </c>
    </row>
  </sheetData>
  <pageMargins left="0.70000000000000007" right="0.70000000000000007" top="0.75" bottom="0.75" header="0.30000000000000004" footer="0.30000000000000004"/>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7540-4D15-5447-BA8B-E6AE92A2335C}">
  <dimension ref="A3:B10"/>
  <sheetViews>
    <sheetView topLeftCell="B10" workbookViewId="0">
      <selection activeCell="J19" sqref="J19"/>
    </sheetView>
  </sheetViews>
  <sheetFormatPr baseColWidth="10" defaultColWidth="10.83203125" defaultRowHeight="15" x14ac:dyDescent="0.2"/>
  <cols>
    <col min="1" max="1" width="85.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39</v>
      </c>
      <c r="B4" t="s">
        <v>485</v>
      </c>
    </row>
    <row r="5" spans="1:2" x14ac:dyDescent="0.2">
      <c r="A5" t="s">
        <v>680</v>
      </c>
      <c r="B5" s="26">
        <v>0.14569536423841059</v>
      </c>
    </row>
    <row r="6" spans="1:2" x14ac:dyDescent="0.2">
      <c r="A6" t="s">
        <v>681</v>
      </c>
      <c r="B6" s="26">
        <v>0.35099337748344372</v>
      </c>
    </row>
    <row r="7" spans="1:2" x14ac:dyDescent="0.2">
      <c r="A7" t="s">
        <v>682</v>
      </c>
      <c r="B7" s="26">
        <v>0.29801324503311261</v>
      </c>
    </row>
    <row r="8" spans="1:2" x14ac:dyDescent="0.2">
      <c r="A8" t="s">
        <v>683</v>
      </c>
      <c r="B8" s="26">
        <v>0.18543046357615894</v>
      </c>
    </row>
    <row r="9" spans="1:2" x14ac:dyDescent="0.2">
      <c r="A9" t="s">
        <v>684</v>
      </c>
      <c r="B9" s="26">
        <v>1.9867549668874173E-2</v>
      </c>
    </row>
    <row r="10" spans="1:2" x14ac:dyDescent="0.2">
      <c r="A10" t="s">
        <v>6</v>
      </c>
      <c r="B10" s="26">
        <v>1.0000000000000002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A8F2-2288-C245-9C25-31F6DFD84F7A}">
  <dimension ref="A1:G152"/>
  <sheetViews>
    <sheetView zoomScale="90" zoomScaleNormal="90" workbookViewId="0">
      <selection activeCell="C11" sqref="C11"/>
    </sheetView>
  </sheetViews>
  <sheetFormatPr baseColWidth="10" defaultColWidth="10.83203125" defaultRowHeight="15" x14ac:dyDescent="0.2"/>
  <cols>
    <col min="1" max="1" width="34.5" bestFit="1" customWidth="1"/>
    <col min="3" max="3" width="44.83203125" customWidth="1"/>
    <col min="6" max="6" width="34.5" customWidth="1"/>
  </cols>
  <sheetData>
    <row r="1" spans="1:7" s="41" customFormat="1" ht="39" x14ac:dyDescent="0.2">
      <c r="A1" s="44" t="s">
        <v>39</v>
      </c>
      <c r="C1" s="44" t="s">
        <v>39</v>
      </c>
      <c r="D1" s="41" t="s">
        <v>485</v>
      </c>
      <c r="F1" s="44" t="str">
        <f>C1</f>
        <v>Sur une échelle de 1 à 5, comment évalueriez-vous votre niveau de connaissance de l’ostéopathie ?</v>
      </c>
      <c r="G1" s="41" t="s">
        <v>575</v>
      </c>
    </row>
    <row r="2" spans="1:7" s="41" customFormat="1" ht="16" x14ac:dyDescent="0.2">
      <c r="A2" s="45">
        <v>4</v>
      </c>
      <c r="C2" s="41" t="s">
        <v>566</v>
      </c>
      <c r="D2" s="41">
        <f>COUNTIF(A2:A152,"1")</f>
        <v>22</v>
      </c>
      <c r="F2" s="41" t="str">
        <f t="shared" ref="F2:F6" si="0">C2&amp;" "&amp;"(n="&amp;D2&amp;")"</f>
        <v>1 = Aucune connaissance (n=22)</v>
      </c>
      <c r="G2" s="48">
        <f>D2/SUM(D$2:D$6)</f>
        <v>0.14569536423841059</v>
      </c>
    </row>
    <row r="3" spans="1:7" s="41" customFormat="1" ht="16" x14ac:dyDescent="0.2">
      <c r="A3" s="46">
        <v>2</v>
      </c>
      <c r="C3" s="41" t="s">
        <v>553</v>
      </c>
      <c r="D3" s="41">
        <f>COUNTIF(A2:A152,"2")</f>
        <v>53</v>
      </c>
      <c r="F3" s="41" t="str">
        <f t="shared" si="0"/>
        <v>2 = Peu de connaissances (n=53)</v>
      </c>
      <c r="G3" s="48">
        <f>D3/SUM(D$2:D$6)</f>
        <v>0.35099337748344372</v>
      </c>
    </row>
    <row r="4" spans="1:7" s="41" customFormat="1" ht="16" x14ac:dyDescent="0.2">
      <c r="A4" s="45">
        <v>2</v>
      </c>
      <c r="C4" s="41" t="s">
        <v>555</v>
      </c>
      <c r="D4" s="41">
        <f>COUNTIF(A2:A152,"3")</f>
        <v>45</v>
      </c>
      <c r="F4" s="41" t="str">
        <f t="shared" si="0"/>
        <v>3 = Connaissances générales  (n=45)</v>
      </c>
      <c r="G4" s="48">
        <f>D4/SUM(D$2:D$6)</f>
        <v>0.29801324503311261</v>
      </c>
    </row>
    <row r="5" spans="1:7" s="41" customFormat="1" ht="16" x14ac:dyDescent="0.2">
      <c r="A5" s="46">
        <v>1</v>
      </c>
      <c r="C5" s="41" t="s">
        <v>552</v>
      </c>
      <c r="D5" s="41">
        <f>COUNTIF(A2:A152,"4")</f>
        <v>28</v>
      </c>
      <c r="F5" s="41" t="str">
        <f t="shared" si="0"/>
        <v>4 = Bonnes connaissances (n=28)</v>
      </c>
      <c r="G5" s="48">
        <f>D5/SUM(D$2:D$6)</f>
        <v>0.18543046357615894</v>
      </c>
    </row>
    <row r="6" spans="1:7" s="41" customFormat="1" ht="16" x14ac:dyDescent="0.2">
      <c r="A6" s="45">
        <v>1</v>
      </c>
      <c r="C6" s="41" t="s">
        <v>551</v>
      </c>
      <c r="D6" s="41">
        <f>COUNTIF(A2:A152,"5")</f>
        <v>3</v>
      </c>
      <c r="F6" s="41" t="str">
        <f t="shared" si="0"/>
        <v>5 = Très bonnes connaissances (n=3)</v>
      </c>
      <c r="G6" s="48">
        <f>D6/SUM(D$2:D$6)</f>
        <v>1.9867549668874173E-2</v>
      </c>
    </row>
    <row r="7" spans="1:7" s="41" customFormat="1" x14ac:dyDescent="0.2">
      <c r="A7" s="46">
        <v>4</v>
      </c>
    </row>
    <row r="8" spans="1:7" s="41" customFormat="1" x14ac:dyDescent="0.2">
      <c r="A8" s="45">
        <v>1</v>
      </c>
      <c r="D8" s="41">
        <f>SUM(D2:D6)</f>
        <v>151</v>
      </c>
      <c r="G8" s="48">
        <f>SUM(G2:G6)</f>
        <v>1.0000000000000002</v>
      </c>
    </row>
    <row r="9" spans="1:7" s="41" customFormat="1" x14ac:dyDescent="0.2">
      <c r="A9" s="46">
        <v>2</v>
      </c>
    </row>
    <row r="10" spans="1:7" s="41" customFormat="1" x14ac:dyDescent="0.2">
      <c r="A10" s="45">
        <v>3</v>
      </c>
    </row>
    <row r="11" spans="1:7" s="41" customFormat="1" x14ac:dyDescent="0.2">
      <c r="A11" s="46">
        <v>1</v>
      </c>
    </row>
    <row r="12" spans="1:7" s="41" customFormat="1" x14ac:dyDescent="0.2">
      <c r="A12" s="45">
        <v>3</v>
      </c>
    </row>
    <row r="13" spans="1:7" s="41" customFormat="1" x14ac:dyDescent="0.2">
      <c r="A13" s="46">
        <v>1</v>
      </c>
    </row>
    <row r="14" spans="1:7" s="41" customFormat="1" x14ac:dyDescent="0.2">
      <c r="A14" s="45">
        <v>4</v>
      </c>
    </row>
    <row r="15" spans="1:7" s="41" customFormat="1" x14ac:dyDescent="0.2">
      <c r="A15" s="46">
        <v>4</v>
      </c>
    </row>
    <row r="16" spans="1:7" s="41" customFormat="1" x14ac:dyDescent="0.2">
      <c r="A16" s="45">
        <v>3</v>
      </c>
    </row>
    <row r="17" spans="1:1" s="41" customFormat="1" x14ac:dyDescent="0.2">
      <c r="A17" s="46">
        <v>2</v>
      </c>
    </row>
    <row r="18" spans="1:1" s="41" customFormat="1" x14ac:dyDescent="0.2">
      <c r="A18" s="45">
        <v>3</v>
      </c>
    </row>
    <row r="19" spans="1:1" s="41" customFormat="1" x14ac:dyDescent="0.2">
      <c r="A19" s="46">
        <v>2</v>
      </c>
    </row>
    <row r="20" spans="1:1" s="41" customFormat="1" x14ac:dyDescent="0.2">
      <c r="A20" s="45">
        <v>1</v>
      </c>
    </row>
    <row r="21" spans="1:1" s="41" customFormat="1" x14ac:dyDescent="0.2">
      <c r="A21" s="46">
        <v>4</v>
      </c>
    </row>
    <row r="22" spans="1:1" s="41" customFormat="1" x14ac:dyDescent="0.2">
      <c r="A22" s="45">
        <v>3</v>
      </c>
    </row>
    <row r="23" spans="1:1" s="41" customFormat="1" x14ac:dyDescent="0.2">
      <c r="A23" s="46">
        <v>1</v>
      </c>
    </row>
    <row r="24" spans="1:1" s="41" customFormat="1" x14ac:dyDescent="0.2">
      <c r="A24" s="45">
        <v>2</v>
      </c>
    </row>
    <row r="25" spans="1:1" s="41" customFormat="1" x14ac:dyDescent="0.2">
      <c r="A25" s="46">
        <v>2</v>
      </c>
    </row>
    <row r="26" spans="1:1" s="41" customFormat="1" x14ac:dyDescent="0.2">
      <c r="A26" s="45">
        <v>2</v>
      </c>
    </row>
    <row r="27" spans="1:1" s="41" customFormat="1" x14ac:dyDescent="0.2">
      <c r="A27" s="46">
        <v>4</v>
      </c>
    </row>
    <row r="28" spans="1:1" s="41" customFormat="1" x14ac:dyDescent="0.2">
      <c r="A28" s="45">
        <v>1</v>
      </c>
    </row>
    <row r="29" spans="1:1" s="41" customFormat="1" x14ac:dyDescent="0.2">
      <c r="A29" s="46">
        <v>3</v>
      </c>
    </row>
    <row r="30" spans="1:1" s="41" customFormat="1" x14ac:dyDescent="0.2">
      <c r="A30" s="45">
        <v>4</v>
      </c>
    </row>
    <row r="31" spans="1:1" s="41" customFormat="1" x14ac:dyDescent="0.2">
      <c r="A31" s="46">
        <v>1</v>
      </c>
    </row>
    <row r="32" spans="1:1" s="41" customFormat="1" x14ac:dyDescent="0.2">
      <c r="A32" s="45">
        <v>4</v>
      </c>
    </row>
    <row r="33" spans="1:1" s="41" customFormat="1" x14ac:dyDescent="0.2">
      <c r="A33" s="46">
        <v>4</v>
      </c>
    </row>
    <row r="34" spans="1:1" s="41" customFormat="1" x14ac:dyDescent="0.2">
      <c r="A34" s="45">
        <v>4</v>
      </c>
    </row>
    <row r="35" spans="1:1" s="41" customFormat="1" x14ac:dyDescent="0.2">
      <c r="A35" s="46">
        <v>3</v>
      </c>
    </row>
    <row r="36" spans="1:1" s="41" customFormat="1" x14ac:dyDescent="0.2">
      <c r="A36" s="45">
        <v>5</v>
      </c>
    </row>
    <row r="37" spans="1:1" s="41" customFormat="1" x14ac:dyDescent="0.2">
      <c r="A37" s="46">
        <v>2</v>
      </c>
    </row>
    <row r="38" spans="1:1" s="41" customFormat="1" x14ac:dyDescent="0.2">
      <c r="A38" s="45">
        <v>3</v>
      </c>
    </row>
    <row r="39" spans="1:1" s="41" customFormat="1" x14ac:dyDescent="0.2">
      <c r="A39" s="46">
        <v>4</v>
      </c>
    </row>
    <row r="40" spans="1:1" s="41" customFormat="1" x14ac:dyDescent="0.2">
      <c r="A40" s="45">
        <v>3</v>
      </c>
    </row>
    <row r="41" spans="1:1" s="41" customFormat="1" x14ac:dyDescent="0.2">
      <c r="A41" s="46">
        <v>4</v>
      </c>
    </row>
    <row r="42" spans="1:1" s="41" customFormat="1" x14ac:dyDescent="0.2">
      <c r="A42" s="45">
        <v>3</v>
      </c>
    </row>
    <row r="43" spans="1:1" s="41" customFormat="1" x14ac:dyDescent="0.2">
      <c r="A43" s="46">
        <v>1</v>
      </c>
    </row>
    <row r="44" spans="1:1" s="41" customFormat="1" x14ac:dyDescent="0.2">
      <c r="A44" s="45">
        <v>2</v>
      </c>
    </row>
    <row r="45" spans="1:1" s="41" customFormat="1" x14ac:dyDescent="0.2">
      <c r="A45" s="46">
        <v>2</v>
      </c>
    </row>
    <row r="46" spans="1:1" s="41" customFormat="1" x14ac:dyDescent="0.2">
      <c r="A46" s="45">
        <v>3</v>
      </c>
    </row>
    <row r="47" spans="1:1" s="41" customFormat="1" x14ac:dyDescent="0.2">
      <c r="A47" s="46">
        <v>4</v>
      </c>
    </row>
    <row r="48" spans="1:1" s="41" customFormat="1" x14ac:dyDescent="0.2">
      <c r="A48" s="45">
        <v>4</v>
      </c>
    </row>
    <row r="49" spans="1:1" s="41" customFormat="1" x14ac:dyDescent="0.2">
      <c r="A49" s="46">
        <v>3</v>
      </c>
    </row>
    <row r="50" spans="1:1" s="41" customFormat="1" x14ac:dyDescent="0.2">
      <c r="A50" s="45">
        <v>4</v>
      </c>
    </row>
    <row r="51" spans="1:1" s="41" customFormat="1" x14ac:dyDescent="0.2">
      <c r="A51" s="46">
        <v>2</v>
      </c>
    </row>
    <row r="52" spans="1:1" s="41" customFormat="1" x14ac:dyDescent="0.2">
      <c r="A52" s="45">
        <v>2</v>
      </c>
    </row>
    <row r="53" spans="1:1" s="41" customFormat="1" x14ac:dyDescent="0.2">
      <c r="A53" s="46">
        <v>3</v>
      </c>
    </row>
    <row r="54" spans="1:1" s="41" customFormat="1" x14ac:dyDescent="0.2">
      <c r="A54" s="45">
        <v>2</v>
      </c>
    </row>
    <row r="55" spans="1:1" s="41" customFormat="1" x14ac:dyDescent="0.2">
      <c r="A55" s="46">
        <v>2</v>
      </c>
    </row>
    <row r="56" spans="1:1" s="41" customFormat="1" x14ac:dyDescent="0.2">
      <c r="A56" s="45">
        <v>4</v>
      </c>
    </row>
    <row r="57" spans="1:1" s="41" customFormat="1" x14ac:dyDescent="0.2">
      <c r="A57" s="46">
        <v>3</v>
      </c>
    </row>
    <row r="58" spans="1:1" s="41" customFormat="1" x14ac:dyDescent="0.2">
      <c r="A58" s="45">
        <v>3</v>
      </c>
    </row>
    <row r="59" spans="1:1" s="41" customFormat="1" x14ac:dyDescent="0.2">
      <c r="A59" s="46">
        <v>1</v>
      </c>
    </row>
    <row r="60" spans="1:1" s="41" customFormat="1" x14ac:dyDescent="0.2">
      <c r="A60" s="45">
        <v>2</v>
      </c>
    </row>
    <row r="61" spans="1:1" s="41" customFormat="1" x14ac:dyDescent="0.2">
      <c r="A61" s="46">
        <v>3</v>
      </c>
    </row>
    <row r="62" spans="1:1" s="41" customFormat="1" x14ac:dyDescent="0.2">
      <c r="A62" s="45">
        <v>3</v>
      </c>
    </row>
    <row r="63" spans="1:1" s="41" customFormat="1" x14ac:dyDescent="0.2">
      <c r="A63" s="46">
        <v>4</v>
      </c>
    </row>
    <row r="64" spans="1:1" s="41" customFormat="1" x14ac:dyDescent="0.2">
      <c r="A64" s="45">
        <v>2</v>
      </c>
    </row>
    <row r="65" spans="1:1" s="41" customFormat="1" x14ac:dyDescent="0.2">
      <c r="A65" s="46">
        <v>2</v>
      </c>
    </row>
    <row r="66" spans="1:1" s="41" customFormat="1" x14ac:dyDescent="0.2">
      <c r="A66" s="45">
        <v>2</v>
      </c>
    </row>
    <row r="67" spans="1:1" s="41" customFormat="1" x14ac:dyDescent="0.2">
      <c r="A67" s="46">
        <v>1</v>
      </c>
    </row>
    <row r="68" spans="1:1" s="41" customFormat="1" x14ac:dyDescent="0.2">
      <c r="A68" s="45">
        <v>3</v>
      </c>
    </row>
    <row r="69" spans="1:1" s="41" customFormat="1" x14ac:dyDescent="0.2">
      <c r="A69" s="46">
        <v>2</v>
      </c>
    </row>
    <row r="70" spans="1:1" s="41" customFormat="1" x14ac:dyDescent="0.2">
      <c r="A70" s="45">
        <v>3</v>
      </c>
    </row>
    <row r="71" spans="1:1" s="41" customFormat="1" x14ac:dyDescent="0.2">
      <c r="A71" s="46">
        <v>2</v>
      </c>
    </row>
    <row r="72" spans="1:1" s="41" customFormat="1" x14ac:dyDescent="0.2">
      <c r="A72" s="45">
        <v>3</v>
      </c>
    </row>
    <row r="73" spans="1:1" s="41" customFormat="1" x14ac:dyDescent="0.2">
      <c r="A73" s="46">
        <v>1</v>
      </c>
    </row>
    <row r="74" spans="1:1" s="41" customFormat="1" x14ac:dyDescent="0.2">
      <c r="A74" s="45">
        <v>3</v>
      </c>
    </row>
    <row r="75" spans="1:1" s="41" customFormat="1" x14ac:dyDescent="0.2">
      <c r="A75" s="46">
        <v>3</v>
      </c>
    </row>
    <row r="76" spans="1:1" s="41" customFormat="1" x14ac:dyDescent="0.2">
      <c r="A76" s="45">
        <v>1</v>
      </c>
    </row>
    <row r="77" spans="1:1" s="41" customFormat="1" x14ac:dyDescent="0.2">
      <c r="A77" s="46">
        <v>2</v>
      </c>
    </row>
    <row r="78" spans="1:1" s="41" customFormat="1" x14ac:dyDescent="0.2">
      <c r="A78" s="45">
        <v>1</v>
      </c>
    </row>
    <row r="79" spans="1:1" s="41" customFormat="1" x14ac:dyDescent="0.2">
      <c r="A79" s="46">
        <v>2</v>
      </c>
    </row>
    <row r="80" spans="1:1" s="41" customFormat="1" x14ac:dyDescent="0.2">
      <c r="A80" s="45">
        <v>1</v>
      </c>
    </row>
    <row r="81" spans="1:1" s="41" customFormat="1" x14ac:dyDescent="0.2">
      <c r="A81" s="46">
        <v>2</v>
      </c>
    </row>
    <row r="82" spans="1:1" s="41" customFormat="1" x14ac:dyDescent="0.2">
      <c r="A82" s="45">
        <v>3</v>
      </c>
    </row>
    <row r="83" spans="1:1" s="41" customFormat="1" x14ac:dyDescent="0.2">
      <c r="A83" s="46">
        <v>2</v>
      </c>
    </row>
    <row r="84" spans="1:1" s="41" customFormat="1" x14ac:dyDescent="0.2">
      <c r="A84" s="45">
        <v>1</v>
      </c>
    </row>
    <row r="85" spans="1:1" s="41" customFormat="1" x14ac:dyDescent="0.2">
      <c r="A85" s="46">
        <v>1</v>
      </c>
    </row>
    <row r="86" spans="1:1" s="41" customFormat="1" x14ac:dyDescent="0.2">
      <c r="A86" s="45">
        <v>1</v>
      </c>
    </row>
    <row r="87" spans="1:1" s="41" customFormat="1" x14ac:dyDescent="0.2">
      <c r="A87" s="46">
        <v>2</v>
      </c>
    </row>
    <row r="88" spans="1:1" s="41" customFormat="1" x14ac:dyDescent="0.2">
      <c r="A88" s="45">
        <v>3</v>
      </c>
    </row>
    <row r="89" spans="1:1" s="41" customFormat="1" x14ac:dyDescent="0.2">
      <c r="A89" s="46">
        <v>2</v>
      </c>
    </row>
    <row r="90" spans="1:1" s="41" customFormat="1" x14ac:dyDescent="0.2">
      <c r="A90" s="45">
        <v>3</v>
      </c>
    </row>
    <row r="91" spans="1:1" s="41" customFormat="1" x14ac:dyDescent="0.2">
      <c r="A91" s="46">
        <v>3</v>
      </c>
    </row>
    <row r="92" spans="1:1" s="41" customFormat="1" x14ac:dyDescent="0.2">
      <c r="A92" s="45">
        <v>3</v>
      </c>
    </row>
    <row r="93" spans="1:1" s="41" customFormat="1" x14ac:dyDescent="0.2">
      <c r="A93" s="46">
        <v>2</v>
      </c>
    </row>
    <row r="94" spans="1:1" s="41" customFormat="1" x14ac:dyDescent="0.2">
      <c r="A94" s="45">
        <v>3</v>
      </c>
    </row>
    <row r="95" spans="1:1" s="41" customFormat="1" x14ac:dyDescent="0.2">
      <c r="A95" s="46">
        <v>4</v>
      </c>
    </row>
    <row r="96" spans="1:1" s="41" customFormat="1" x14ac:dyDescent="0.2">
      <c r="A96" s="45">
        <v>2</v>
      </c>
    </row>
    <row r="97" spans="1:1" s="41" customFormat="1" x14ac:dyDescent="0.2">
      <c r="A97" s="46">
        <v>4</v>
      </c>
    </row>
    <row r="98" spans="1:1" s="41" customFormat="1" x14ac:dyDescent="0.2">
      <c r="A98" s="45">
        <v>3</v>
      </c>
    </row>
    <row r="99" spans="1:1" s="41" customFormat="1" x14ac:dyDescent="0.2">
      <c r="A99" s="46">
        <v>2</v>
      </c>
    </row>
    <row r="100" spans="1:1" s="41" customFormat="1" x14ac:dyDescent="0.2">
      <c r="A100" s="45">
        <v>3</v>
      </c>
    </row>
    <row r="101" spans="1:1" s="41" customFormat="1" x14ac:dyDescent="0.2">
      <c r="A101" s="46">
        <v>2</v>
      </c>
    </row>
    <row r="102" spans="1:1" s="41" customFormat="1" x14ac:dyDescent="0.2">
      <c r="A102" s="45">
        <v>4</v>
      </c>
    </row>
    <row r="103" spans="1:1" s="41" customFormat="1" x14ac:dyDescent="0.2">
      <c r="A103" s="46">
        <v>2</v>
      </c>
    </row>
    <row r="104" spans="1:1" s="41" customFormat="1" x14ac:dyDescent="0.2">
      <c r="A104" s="45">
        <v>2</v>
      </c>
    </row>
    <row r="105" spans="1:1" s="41" customFormat="1" x14ac:dyDescent="0.2">
      <c r="A105" s="46">
        <v>3</v>
      </c>
    </row>
    <row r="106" spans="1:1" s="41" customFormat="1" x14ac:dyDescent="0.2">
      <c r="A106" s="45">
        <v>3</v>
      </c>
    </row>
    <row r="107" spans="1:1" s="41" customFormat="1" x14ac:dyDescent="0.2">
      <c r="A107" s="46">
        <v>4</v>
      </c>
    </row>
    <row r="108" spans="1:1" s="41" customFormat="1" x14ac:dyDescent="0.2">
      <c r="A108" s="45">
        <v>3</v>
      </c>
    </row>
    <row r="109" spans="1:1" s="41" customFormat="1" x14ac:dyDescent="0.2">
      <c r="A109" s="46">
        <v>2</v>
      </c>
    </row>
    <row r="110" spans="1:1" s="41" customFormat="1" x14ac:dyDescent="0.2">
      <c r="A110" s="45">
        <v>2</v>
      </c>
    </row>
    <row r="111" spans="1:1" s="41" customFormat="1" x14ac:dyDescent="0.2">
      <c r="A111" s="46">
        <v>4</v>
      </c>
    </row>
    <row r="112" spans="1:1" s="41" customFormat="1" x14ac:dyDescent="0.2">
      <c r="A112" s="45">
        <v>3</v>
      </c>
    </row>
    <row r="113" spans="1:1" s="41" customFormat="1" x14ac:dyDescent="0.2">
      <c r="A113" s="46">
        <v>2</v>
      </c>
    </row>
    <row r="114" spans="1:1" s="41" customFormat="1" x14ac:dyDescent="0.2">
      <c r="A114" s="45">
        <v>2</v>
      </c>
    </row>
    <row r="115" spans="1:1" s="41" customFormat="1" x14ac:dyDescent="0.2">
      <c r="A115" s="46">
        <v>2</v>
      </c>
    </row>
    <row r="116" spans="1:1" s="41" customFormat="1" x14ac:dyDescent="0.2">
      <c r="A116" s="45">
        <v>4</v>
      </c>
    </row>
    <row r="117" spans="1:1" s="41" customFormat="1" x14ac:dyDescent="0.2">
      <c r="A117" s="46">
        <v>2</v>
      </c>
    </row>
    <row r="118" spans="1:1" s="41" customFormat="1" x14ac:dyDescent="0.2">
      <c r="A118" s="45">
        <v>2</v>
      </c>
    </row>
    <row r="119" spans="1:1" s="41" customFormat="1" x14ac:dyDescent="0.2">
      <c r="A119" s="46">
        <v>3</v>
      </c>
    </row>
    <row r="120" spans="1:1" s="41" customFormat="1" x14ac:dyDescent="0.2">
      <c r="A120" s="45">
        <v>3</v>
      </c>
    </row>
    <row r="121" spans="1:1" s="41" customFormat="1" x14ac:dyDescent="0.2">
      <c r="A121" s="46">
        <v>2</v>
      </c>
    </row>
    <row r="122" spans="1:1" s="41" customFormat="1" x14ac:dyDescent="0.2">
      <c r="A122" s="45">
        <v>2</v>
      </c>
    </row>
    <row r="123" spans="1:1" s="41" customFormat="1" x14ac:dyDescent="0.2">
      <c r="A123" s="46">
        <v>2</v>
      </c>
    </row>
    <row r="124" spans="1:1" s="41" customFormat="1" x14ac:dyDescent="0.2">
      <c r="A124" s="45">
        <v>2</v>
      </c>
    </row>
    <row r="125" spans="1:1" s="41" customFormat="1" x14ac:dyDescent="0.2">
      <c r="A125" s="46">
        <v>4</v>
      </c>
    </row>
    <row r="126" spans="1:1" s="41" customFormat="1" x14ac:dyDescent="0.2">
      <c r="A126" s="45">
        <v>2</v>
      </c>
    </row>
    <row r="127" spans="1:1" s="41" customFormat="1" x14ac:dyDescent="0.2">
      <c r="A127" s="46">
        <v>2</v>
      </c>
    </row>
    <row r="128" spans="1:1" s="41" customFormat="1" x14ac:dyDescent="0.2">
      <c r="A128" s="45">
        <v>4</v>
      </c>
    </row>
    <row r="129" spans="1:1" s="41" customFormat="1" x14ac:dyDescent="0.2">
      <c r="A129" s="46">
        <v>4</v>
      </c>
    </row>
    <row r="130" spans="1:1" s="41" customFormat="1" x14ac:dyDescent="0.2">
      <c r="A130" s="45">
        <v>3</v>
      </c>
    </row>
    <row r="131" spans="1:1" s="41" customFormat="1" x14ac:dyDescent="0.2">
      <c r="A131" s="46">
        <v>4</v>
      </c>
    </row>
    <row r="132" spans="1:1" s="41" customFormat="1" x14ac:dyDescent="0.2">
      <c r="A132" s="45">
        <v>3</v>
      </c>
    </row>
    <row r="133" spans="1:1" s="41" customFormat="1" x14ac:dyDescent="0.2">
      <c r="A133" s="46">
        <v>3</v>
      </c>
    </row>
    <row r="134" spans="1:1" s="41" customFormat="1" x14ac:dyDescent="0.2">
      <c r="A134" s="45">
        <v>1</v>
      </c>
    </row>
    <row r="135" spans="1:1" s="41" customFormat="1" x14ac:dyDescent="0.2">
      <c r="A135" s="46">
        <v>3</v>
      </c>
    </row>
    <row r="136" spans="1:1" s="41" customFormat="1" x14ac:dyDescent="0.2">
      <c r="A136" s="45">
        <v>3</v>
      </c>
    </row>
    <row r="137" spans="1:1" s="41" customFormat="1" x14ac:dyDescent="0.2">
      <c r="A137" s="46">
        <v>2</v>
      </c>
    </row>
    <row r="138" spans="1:1" s="41" customFormat="1" x14ac:dyDescent="0.2">
      <c r="A138" s="45">
        <v>2</v>
      </c>
    </row>
    <row r="139" spans="1:1" s="41" customFormat="1" x14ac:dyDescent="0.2">
      <c r="A139" s="46">
        <v>1</v>
      </c>
    </row>
    <row r="140" spans="1:1" s="41" customFormat="1" x14ac:dyDescent="0.2">
      <c r="A140" s="45">
        <v>3</v>
      </c>
    </row>
    <row r="141" spans="1:1" s="41" customFormat="1" x14ac:dyDescent="0.2">
      <c r="A141" s="46">
        <v>2</v>
      </c>
    </row>
    <row r="142" spans="1:1" s="41" customFormat="1" x14ac:dyDescent="0.2">
      <c r="A142" s="45">
        <v>1</v>
      </c>
    </row>
    <row r="143" spans="1:1" s="41" customFormat="1" x14ac:dyDescent="0.2">
      <c r="A143" s="46">
        <v>5</v>
      </c>
    </row>
    <row r="144" spans="1:1" s="41" customFormat="1" x14ac:dyDescent="0.2">
      <c r="A144" s="45">
        <v>3</v>
      </c>
    </row>
    <row r="145" spans="1:1" s="41" customFormat="1" x14ac:dyDescent="0.2">
      <c r="A145" s="46">
        <v>3</v>
      </c>
    </row>
    <row r="146" spans="1:1" s="41" customFormat="1" x14ac:dyDescent="0.2">
      <c r="A146" s="45">
        <v>4</v>
      </c>
    </row>
    <row r="147" spans="1:1" s="41" customFormat="1" x14ac:dyDescent="0.2">
      <c r="A147" s="46">
        <v>3</v>
      </c>
    </row>
    <row r="148" spans="1:1" s="41" customFormat="1" x14ac:dyDescent="0.2">
      <c r="A148" s="45">
        <v>5</v>
      </c>
    </row>
    <row r="149" spans="1:1" s="41" customFormat="1" x14ac:dyDescent="0.2">
      <c r="A149" s="46">
        <v>2</v>
      </c>
    </row>
    <row r="150" spans="1:1" s="41" customFormat="1" x14ac:dyDescent="0.2">
      <c r="A150" s="45">
        <v>2</v>
      </c>
    </row>
    <row r="151" spans="1:1" s="41" customFormat="1" x14ac:dyDescent="0.2">
      <c r="A151" s="46">
        <v>2</v>
      </c>
    </row>
    <row r="152" spans="1:1" s="41" customFormat="1" x14ac:dyDescent="0.2">
      <c r="A152" s="47">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8E09-9959-4A2E-B01F-61464B7A4954}">
  <dimension ref="A3:B10"/>
  <sheetViews>
    <sheetView topLeftCell="B8" workbookViewId="0">
      <selection activeCell="H19" sqref="H19"/>
    </sheetView>
  </sheetViews>
  <sheetFormatPr baseColWidth="10" defaultColWidth="10.83203125" defaultRowHeight="15" x14ac:dyDescent="0.2"/>
  <cols>
    <col min="1" max="1" width="88"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40</v>
      </c>
      <c r="B4" t="s">
        <v>485</v>
      </c>
    </row>
    <row r="5" spans="1:2" x14ac:dyDescent="0.2">
      <c r="A5" t="s">
        <v>685</v>
      </c>
      <c r="B5" s="26">
        <v>1.9867549668874173E-2</v>
      </c>
    </row>
    <row r="6" spans="1:2" x14ac:dyDescent="0.2">
      <c r="A6" t="s">
        <v>686</v>
      </c>
      <c r="B6" s="26">
        <v>5.9602649006622516E-2</v>
      </c>
    </row>
    <row r="7" spans="1:2" x14ac:dyDescent="0.2">
      <c r="A7" t="s">
        <v>687</v>
      </c>
      <c r="B7" s="26">
        <v>0.27152317880794702</v>
      </c>
    </row>
    <row r="8" spans="1:2" x14ac:dyDescent="0.2">
      <c r="A8" t="s">
        <v>688</v>
      </c>
      <c r="B8" s="26">
        <v>0.39735099337748342</v>
      </c>
    </row>
    <row r="9" spans="1:2" x14ac:dyDescent="0.2">
      <c r="A9" t="s">
        <v>689</v>
      </c>
      <c r="B9" s="26">
        <v>0.25165562913907286</v>
      </c>
    </row>
    <row r="10" spans="1:2" x14ac:dyDescent="0.2">
      <c r="A10" t="s">
        <v>6</v>
      </c>
      <c r="B10" s="2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A2A9-DABC-1B40-9532-48C81BAD8DD7}">
  <dimension ref="A1:G152"/>
  <sheetViews>
    <sheetView zoomScale="90" zoomScaleNormal="90" workbookViewId="0">
      <selection activeCell="F3" sqref="F3"/>
    </sheetView>
  </sheetViews>
  <sheetFormatPr baseColWidth="10" defaultColWidth="10.83203125" defaultRowHeight="15" x14ac:dyDescent="0.2"/>
  <cols>
    <col min="1" max="1" width="34.5" bestFit="1" customWidth="1"/>
    <col min="3" max="3" width="42.6640625" customWidth="1"/>
    <col min="6" max="6" width="35.1640625" customWidth="1"/>
  </cols>
  <sheetData>
    <row r="1" spans="1:7" s="41" customFormat="1" ht="39" x14ac:dyDescent="0.2">
      <c r="A1" s="44" t="s">
        <v>40</v>
      </c>
      <c r="C1" s="44" t="s">
        <v>40</v>
      </c>
      <c r="D1" s="41" t="s">
        <v>485</v>
      </c>
      <c r="F1" s="44" t="str">
        <f>C1</f>
        <v>Quelle est selon vous, la place de l’ostéopathie dans la prise en charge globale de la femme enceinte ?</v>
      </c>
      <c r="G1" s="41" t="s">
        <v>575</v>
      </c>
    </row>
    <row r="2" spans="1:7" s="41" customFormat="1" ht="16" x14ac:dyDescent="0.2">
      <c r="A2" s="45">
        <v>4</v>
      </c>
      <c r="C2" s="41" t="s">
        <v>561</v>
      </c>
      <c r="D2" s="41">
        <f>COUNTIF(A2:A152,"1")</f>
        <v>3</v>
      </c>
      <c r="F2" s="41" t="str">
        <f t="shared" ref="F2" si="0">C2&amp;" "&amp;"(n="&amp;D2&amp;")"</f>
        <v>1 = Sans intérêt  (n=3)</v>
      </c>
      <c r="G2" s="48">
        <f>D2/SUM(D$2:D$6)</f>
        <v>1.9867549668874173E-2</v>
      </c>
    </row>
    <row r="3" spans="1:7" s="41" customFormat="1" ht="16" x14ac:dyDescent="0.2">
      <c r="A3" s="46">
        <v>3</v>
      </c>
      <c r="C3" s="41" t="s">
        <v>564</v>
      </c>
      <c r="D3" s="41">
        <f>COUNTIF(A2:A152,"2")</f>
        <v>9</v>
      </c>
      <c r="F3" s="41" t="str">
        <f t="shared" ref="F3:F6" si="1">C3&amp;" "&amp;"(n="&amp;D3&amp;")"</f>
        <v>2 = Peu utile  (n=9)</v>
      </c>
      <c r="G3" s="48">
        <f>D3/SUM(D$2:D$6)</f>
        <v>5.9602649006622516E-2</v>
      </c>
    </row>
    <row r="4" spans="1:7" s="41" customFormat="1" ht="16" x14ac:dyDescent="0.2">
      <c r="A4" s="45">
        <v>3</v>
      </c>
      <c r="C4" s="41" t="s">
        <v>565</v>
      </c>
      <c r="D4" s="41">
        <f>COUNTIF(A2:A152,"3")</f>
        <v>41</v>
      </c>
      <c r="F4" s="41" t="str">
        <f t="shared" si="1"/>
        <v>3 = Utilité modérée   (n=41)</v>
      </c>
      <c r="G4" s="48">
        <f>D4/SUM(D$2:D$6)</f>
        <v>0.27152317880794702</v>
      </c>
    </row>
    <row r="5" spans="1:7" s="41" customFormat="1" ht="16" x14ac:dyDescent="0.2">
      <c r="A5" s="46">
        <v>4</v>
      </c>
      <c r="C5" s="41" t="s">
        <v>563</v>
      </c>
      <c r="D5" s="41">
        <f>COUNTIF(A2:A152,"4")</f>
        <v>60</v>
      </c>
      <c r="F5" s="41" t="str">
        <f t="shared" si="1"/>
        <v>4 = Utile   (n=60)</v>
      </c>
      <c r="G5" s="48">
        <f>D5/SUM(D$2:D$6)</f>
        <v>0.39735099337748342</v>
      </c>
    </row>
    <row r="6" spans="1:7" s="41" customFormat="1" ht="16" x14ac:dyDescent="0.2">
      <c r="A6" s="45">
        <v>3</v>
      </c>
      <c r="C6" s="41" t="s">
        <v>562</v>
      </c>
      <c r="D6" s="41">
        <f>COUNTIF(A2:A152,"5")</f>
        <v>38</v>
      </c>
      <c r="F6" s="41" t="str">
        <f t="shared" si="1"/>
        <v>5 = Très utile  (n=38)</v>
      </c>
      <c r="G6" s="48">
        <f>D6/SUM(D$2:D$6)</f>
        <v>0.25165562913907286</v>
      </c>
    </row>
    <row r="7" spans="1:7" s="41" customFormat="1" x14ac:dyDescent="0.2">
      <c r="A7" s="46">
        <v>4</v>
      </c>
    </row>
    <row r="8" spans="1:7" s="41" customFormat="1" x14ac:dyDescent="0.2">
      <c r="A8" s="45">
        <v>3</v>
      </c>
      <c r="D8" s="41">
        <f>SUM(D2:D6)</f>
        <v>151</v>
      </c>
      <c r="G8" s="48">
        <f>SUM(G2:G6)</f>
        <v>1</v>
      </c>
    </row>
    <row r="9" spans="1:7" s="41" customFormat="1" x14ac:dyDescent="0.2">
      <c r="A9" s="46">
        <v>4</v>
      </c>
    </row>
    <row r="10" spans="1:7" s="41" customFormat="1" x14ac:dyDescent="0.2">
      <c r="A10" s="45">
        <v>4</v>
      </c>
    </row>
    <row r="11" spans="1:7" s="41" customFormat="1" x14ac:dyDescent="0.2">
      <c r="A11" s="46">
        <v>3</v>
      </c>
    </row>
    <row r="12" spans="1:7" s="41" customFormat="1" x14ac:dyDescent="0.2">
      <c r="A12" s="45">
        <v>4</v>
      </c>
    </row>
    <row r="13" spans="1:7" s="41" customFormat="1" x14ac:dyDescent="0.2">
      <c r="A13" s="46">
        <v>3</v>
      </c>
    </row>
    <row r="14" spans="1:7" s="41" customFormat="1" x14ac:dyDescent="0.2">
      <c r="A14" s="45">
        <v>5</v>
      </c>
    </row>
    <row r="15" spans="1:7" s="41" customFormat="1" x14ac:dyDescent="0.2">
      <c r="A15" s="46">
        <v>4</v>
      </c>
    </row>
    <row r="16" spans="1:7" s="41" customFormat="1" x14ac:dyDescent="0.2">
      <c r="A16" s="45">
        <v>5</v>
      </c>
    </row>
    <row r="17" spans="1:1" s="41" customFormat="1" x14ac:dyDescent="0.2">
      <c r="A17" s="46">
        <v>3</v>
      </c>
    </row>
    <row r="18" spans="1:1" s="41" customFormat="1" x14ac:dyDescent="0.2">
      <c r="A18" s="45">
        <v>3</v>
      </c>
    </row>
    <row r="19" spans="1:1" s="41" customFormat="1" x14ac:dyDescent="0.2">
      <c r="A19" s="46">
        <v>3</v>
      </c>
    </row>
    <row r="20" spans="1:1" s="41" customFormat="1" x14ac:dyDescent="0.2">
      <c r="A20" s="45">
        <v>4</v>
      </c>
    </row>
    <row r="21" spans="1:1" s="41" customFormat="1" x14ac:dyDescent="0.2">
      <c r="A21" s="46">
        <v>5</v>
      </c>
    </row>
    <row r="22" spans="1:1" s="41" customFormat="1" x14ac:dyDescent="0.2">
      <c r="A22" s="45">
        <v>2</v>
      </c>
    </row>
    <row r="23" spans="1:1" s="41" customFormat="1" x14ac:dyDescent="0.2">
      <c r="A23" s="46">
        <v>4</v>
      </c>
    </row>
    <row r="24" spans="1:1" s="41" customFormat="1" x14ac:dyDescent="0.2">
      <c r="A24" s="45">
        <v>3</v>
      </c>
    </row>
    <row r="25" spans="1:1" s="41" customFormat="1" x14ac:dyDescent="0.2">
      <c r="A25" s="46">
        <v>2</v>
      </c>
    </row>
    <row r="26" spans="1:1" s="41" customFormat="1" x14ac:dyDescent="0.2">
      <c r="A26" s="45">
        <v>5</v>
      </c>
    </row>
    <row r="27" spans="1:1" s="41" customFormat="1" x14ac:dyDescent="0.2">
      <c r="A27" s="46">
        <v>1</v>
      </c>
    </row>
    <row r="28" spans="1:1" s="41" customFormat="1" x14ac:dyDescent="0.2">
      <c r="A28" s="45">
        <v>3</v>
      </c>
    </row>
    <row r="29" spans="1:1" s="41" customFormat="1" x14ac:dyDescent="0.2">
      <c r="A29" s="46">
        <v>5</v>
      </c>
    </row>
    <row r="30" spans="1:1" s="41" customFormat="1" x14ac:dyDescent="0.2">
      <c r="A30" s="45">
        <v>5</v>
      </c>
    </row>
    <row r="31" spans="1:1" s="41" customFormat="1" x14ac:dyDescent="0.2">
      <c r="A31" s="46">
        <v>1</v>
      </c>
    </row>
    <row r="32" spans="1:1" s="41" customFormat="1" x14ac:dyDescent="0.2">
      <c r="A32" s="45">
        <v>5</v>
      </c>
    </row>
    <row r="33" spans="1:1" s="41" customFormat="1" x14ac:dyDescent="0.2">
      <c r="A33" s="46">
        <v>5</v>
      </c>
    </row>
    <row r="34" spans="1:1" s="41" customFormat="1" x14ac:dyDescent="0.2">
      <c r="A34" s="45">
        <v>5</v>
      </c>
    </row>
    <row r="35" spans="1:1" s="41" customFormat="1" x14ac:dyDescent="0.2">
      <c r="A35" s="46">
        <v>5</v>
      </c>
    </row>
    <row r="36" spans="1:1" s="41" customFormat="1" x14ac:dyDescent="0.2">
      <c r="A36" s="45">
        <v>5</v>
      </c>
    </row>
    <row r="37" spans="1:1" s="41" customFormat="1" x14ac:dyDescent="0.2">
      <c r="A37" s="46">
        <v>4</v>
      </c>
    </row>
    <row r="38" spans="1:1" s="41" customFormat="1" x14ac:dyDescent="0.2">
      <c r="A38" s="45">
        <v>3</v>
      </c>
    </row>
    <row r="39" spans="1:1" s="41" customFormat="1" x14ac:dyDescent="0.2">
      <c r="A39" s="46">
        <v>4</v>
      </c>
    </row>
    <row r="40" spans="1:1" s="41" customFormat="1" x14ac:dyDescent="0.2">
      <c r="A40" s="45">
        <v>5</v>
      </c>
    </row>
    <row r="41" spans="1:1" s="41" customFormat="1" x14ac:dyDescent="0.2">
      <c r="A41" s="46">
        <v>5</v>
      </c>
    </row>
    <row r="42" spans="1:1" s="41" customFormat="1" x14ac:dyDescent="0.2">
      <c r="A42" s="45">
        <v>3</v>
      </c>
    </row>
    <row r="43" spans="1:1" s="41" customFormat="1" x14ac:dyDescent="0.2">
      <c r="A43" s="46">
        <v>2</v>
      </c>
    </row>
    <row r="44" spans="1:1" s="41" customFormat="1" x14ac:dyDescent="0.2">
      <c r="A44" s="45">
        <v>2</v>
      </c>
    </row>
    <row r="45" spans="1:1" s="41" customFormat="1" x14ac:dyDescent="0.2">
      <c r="A45" s="46">
        <v>4</v>
      </c>
    </row>
    <row r="46" spans="1:1" s="41" customFormat="1" x14ac:dyDescent="0.2">
      <c r="A46" s="45">
        <v>4</v>
      </c>
    </row>
    <row r="47" spans="1:1" s="41" customFormat="1" x14ac:dyDescent="0.2">
      <c r="A47" s="46">
        <v>4</v>
      </c>
    </row>
    <row r="48" spans="1:1" s="41" customFormat="1" x14ac:dyDescent="0.2">
      <c r="A48" s="45">
        <v>4</v>
      </c>
    </row>
    <row r="49" spans="1:1" s="41" customFormat="1" x14ac:dyDescent="0.2">
      <c r="A49" s="46">
        <v>5</v>
      </c>
    </row>
    <row r="50" spans="1:1" s="41" customFormat="1" x14ac:dyDescent="0.2">
      <c r="A50" s="45">
        <v>3</v>
      </c>
    </row>
    <row r="51" spans="1:1" s="41" customFormat="1" x14ac:dyDescent="0.2">
      <c r="A51" s="46">
        <v>4</v>
      </c>
    </row>
    <row r="52" spans="1:1" s="41" customFormat="1" x14ac:dyDescent="0.2">
      <c r="A52" s="45">
        <v>3</v>
      </c>
    </row>
    <row r="53" spans="1:1" s="41" customFormat="1" x14ac:dyDescent="0.2">
      <c r="A53" s="46">
        <v>4</v>
      </c>
    </row>
    <row r="54" spans="1:1" s="41" customFormat="1" x14ac:dyDescent="0.2">
      <c r="A54" s="45">
        <v>3</v>
      </c>
    </row>
    <row r="55" spans="1:1" s="41" customFormat="1" x14ac:dyDescent="0.2">
      <c r="A55" s="46">
        <v>3</v>
      </c>
    </row>
    <row r="56" spans="1:1" s="41" customFormat="1" x14ac:dyDescent="0.2">
      <c r="A56" s="45">
        <v>3</v>
      </c>
    </row>
    <row r="57" spans="1:1" s="41" customFormat="1" x14ac:dyDescent="0.2">
      <c r="A57" s="46">
        <v>4</v>
      </c>
    </row>
    <row r="58" spans="1:1" s="41" customFormat="1" x14ac:dyDescent="0.2">
      <c r="A58" s="45">
        <v>3</v>
      </c>
    </row>
    <row r="59" spans="1:1" s="41" customFormat="1" x14ac:dyDescent="0.2">
      <c r="A59" s="46">
        <v>3</v>
      </c>
    </row>
    <row r="60" spans="1:1" s="41" customFormat="1" x14ac:dyDescent="0.2">
      <c r="A60" s="45">
        <v>4</v>
      </c>
    </row>
    <row r="61" spans="1:1" s="41" customFormat="1" x14ac:dyDescent="0.2">
      <c r="A61" s="46">
        <v>5</v>
      </c>
    </row>
    <row r="62" spans="1:1" s="41" customFormat="1" x14ac:dyDescent="0.2">
      <c r="A62" s="45">
        <v>4</v>
      </c>
    </row>
    <row r="63" spans="1:1" s="41" customFormat="1" x14ac:dyDescent="0.2">
      <c r="A63" s="46">
        <v>3</v>
      </c>
    </row>
    <row r="64" spans="1:1" s="41" customFormat="1" x14ac:dyDescent="0.2">
      <c r="A64" s="45">
        <v>3</v>
      </c>
    </row>
    <row r="65" spans="1:1" s="41" customFormat="1" x14ac:dyDescent="0.2">
      <c r="A65" s="46">
        <v>4</v>
      </c>
    </row>
    <row r="66" spans="1:1" s="41" customFormat="1" x14ac:dyDescent="0.2">
      <c r="A66" s="45">
        <v>4</v>
      </c>
    </row>
    <row r="67" spans="1:1" s="41" customFormat="1" x14ac:dyDescent="0.2">
      <c r="A67" s="46">
        <v>2</v>
      </c>
    </row>
    <row r="68" spans="1:1" s="41" customFormat="1" x14ac:dyDescent="0.2">
      <c r="A68" s="45">
        <v>4</v>
      </c>
    </row>
    <row r="69" spans="1:1" s="41" customFormat="1" x14ac:dyDescent="0.2">
      <c r="A69" s="46">
        <v>4</v>
      </c>
    </row>
    <row r="70" spans="1:1" s="41" customFormat="1" x14ac:dyDescent="0.2">
      <c r="A70" s="45">
        <v>4</v>
      </c>
    </row>
    <row r="71" spans="1:1" s="41" customFormat="1" x14ac:dyDescent="0.2">
      <c r="A71" s="46">
        <v>4</v>
      </c>
    </row>
    <row r="72" spans="1:1" s="41" customFormat="1" x14ac:dyDescent="0.2">
      <c r="A72" s="45">
        <v>3</v>
      </c>
    </row>
    <row r="73" spans="1:1" s="41" customFormat="1" x14ac:dyDescent="0.2">
      <c r="A73" s="46">
        <v>5</v>
      </c>
    </row>
    <row r="74" spans="1:1" s="41" customFormat="1" x14ac:dyDescent="0.2">
      <c r="A74" s="45">
        <v>4</v>
      </c>
    </row>
    <row r="75" spans="1:1" s="41" customFormat="1" x14ac:dyDescent="0.2">
      <c r="A75" s="46">
        <v>5</v>
      </c>
    </row>
    <row r="76" spans="1:1" s="41" customFormat="1" x14ac:dyDescent="0.2">
      <c r="A76" s="45">
        <v>3</v>
      </c>
    </row>
    <row r="77" spans="1:1" s="41" customFormat="1" x14ac:dyDescent="0.2">
      <c r="A77" s="46">
        <v>3</v>
      </c>
    </row>
    <row r="78" spans="1:1" s="41" customFormat="1" x14ac:dyDescent="0.2">
      <c r="A78" s="45">
        <v>4</v>
      </c>
    </row>
    <row r="79" spans="1:1" s="41" customFormat="1" x14ac:dyDescent="0.2">
      <c r="A79" s="46">
        <v>3</v>
      </c>
    </row>
    <row r="80" spans="1:1" s="41" customFormat="1" x14ac:dyDescent="0.2">
      <c r="A80" s="45">
        <v>2</v>
      </c>
    </row>
    <row r="81" spans="1:1" s="41" customFormat="1" x14ac:dyDescent="0.2">
      <c r="A81" s="46">
        <v>4</v>
      </c>
    </row>
    <row r="82" spans="1:1" s="41" customFormat="1" x14ac:dyDescent="0.2">
      <c r="A82" s="45">
        <v>5</v>
      </c>
    </row>
    <row r="83" spans="1:1" s="41" customFormat="1" x14ac:dyDescent="0.2">
      <c r="A83" s="46">
        <v>4</v>
      </c>
    </row>
    <row r="84" spans="1:1" s="41" customFormat="1" x14ac:dyDescent="0.2">
      <c r="A84" s="45">
        <v>3</v>
      </c>
    </row>
    <row r="85" spans="1:1" s="41" customFormat="1" x14ac:dyDescent="0.2">
      <c r="A85" s="46">
        <v>1</v>
      </c>
    </row>
    <row r="86" spans="1:1" s="41" customFormat="1" x14ac:dyDescent="0.2">
      <c r="A86" s="45">
        <v>4</v>
      </c>
    </row>
    <row r="87" spans="1:1" s="41" customFormat="1" x14ac:dyDescent="0.2">
      <c r="A87" s="46">
        <v>4</v>
      </c>
    </row>
    <row r="88" spans="1:1" s="41" customFormat="1" x14ac:dyDescent="0.2">
      <c r="A88" s="45">
        <v>4</v>
      </c>
    </row>
    <row r="89" spans="1:1" s="41" customFormat="1" x14ac:dyDescent="0.2">
      <c r="A89" s="46">
        <v>3</v>
      </c>
    </row>
    <row r="90" spans="1:1" s="41" customFormat="1" x14ac:dyDescent="0.2">
      <c r="A90" s="45">
        <v>4</v>
      </c>
    </row>
    <row r="91" spans="1:1" s="41" customFormat="1" x14ac:dyDescent="0.2">
      <c r="A91" s="46">
        <v>5</v>
      </c>
    </row>
    <row r="92" spans="1:1" s="41" customFormat="1" x14ac:dyDescent="0.2">
      <c r="A92" s="45">
        <v>4</v>
      </c>
    </row>
    <row r="93" spans="1:1" s="41" customFormat="1" x14ac:dyDescent="0.2">
      <c r="A93" s="46">
        <v>3</v>
      </c>
    </row>
    <row r="94" spans="1:1" s="41" customFormat="1" x14ac:dyDescent="0.2">
      <c r="A94" s="45">
        <v>5</v>
      </c>
    </row>
    <row r="95" spans="1:1" s="41" customFormat="1" x14ac:dyDescent="0.2">
      <c r="A95" s="46">
        <v>4</v>
      </c>
    </row>
    <row r="96" spans="1:1" s="41" customFormat="1" x14ac:dyDescent="0.2">
      <c r="A96" s="45">
        <v>4</v>
      </c>
    </row>
    <row r="97" spans="1:1" s="41" customFormat="1" x14ac:dyDescent="0.2">
      <c r="A97" s="46">
        <v>4</v>
      </c>
    </row>
    <row r="98" spans="1:1" s="41" customFormat="1" x14ac:dyDescent="0.2">
      <c r="A98" s="45">
        <v>4</v>
      </c>
    </row>
    <row r="99" spans="1:1" s="41" customFormat="1" x14ac:dyDescent="0.2">
      <c r="A99" s="46">
        <v>3</v>
      </c>
    </row>
    <row r="100" spans="1:1" s="41" customFormat="1" x14ac:dyDescent="0.2">
      <c r="A100" s="45">
        <v>5</v>
      </c>
    </row>
    <row r="101" spans="1:1" s="41" customFormat="1" x14ac:dyDescent="0.2">
      <c r="A101" s="46">
        <v>3</v>
      </c>
    </row>
    <row r="102" spans="1:1" s="41" customFormat="1" x14ac:dyDescent="0.2">
      <c r="A102" s="45">
        <v>5</v>
      </c>
    </row>
    <row r="103" spans="1:1" s="41" customFormat="1" x14ac:dyDescent="0.2">
      <c r="A103" s="46">
        <v>5</v>
      </c>
    </row>
    <row r="104" spans="1:1" s="41" customFormat="1" x14ac:dyDescent="0.2">
      <c r="A104" s="45">
        <v>5</v>
      </c>
    </row>
    <row r="105" spans="1:1" s="41" customFormat="1" x14ac:dyDescent="0.2">
      <c r="A105" s="46">
        <v>5</v>
      </c>
    </row>
    <row r="106" spans="1:1" s="41" customFormat="1" x14ac:dyDescent="0.2">
      <c r="A106" s="45">
        <v>4</v>
      </c>
    </row>
    <row r="107" spans="1:1" s="41" customFormat="1" x14ac:dyDescent="0.2">
      <c r="A107" s="46">
        <v>4</v>
      </c>
    </row>
    <row r="108" spans="1:1" s="41" customFormat="1" x14ac:dyDescent="0.2">
      <c r="A108" s="45">
        <v>3</v>
      </c>
    </row>
    <row r="109" spans="1:1" s="41" customFormat="1" x14ac:dyDescent="0.2">
      <c r="A109" s="46">
        <v>3</v>
      </c>
    </row>
    <row r="110" spans="1:1" s="41" customFormat="1" x14ac:dyDescent="0.2">
      <c r="A110" s="45">
        <v>4</v>
      </c>
    </row>
    <row r="111" spans="1:1" s="41" customFormat="1" x14ac:dyDescent="0.2">
      <c r="A111" s="46">
        <v>4</v>
      </c>
    </row>
    <row r="112" spans="1:1" s="41" customFormat="1" x14ac:dyDescent="0.2">
      <c r="A112" s="45">
        <v>5</v>
      </c>
    </row>
    <row r="113" spans="1:1" s="41" customFormat="1" x14ac:dyDescent="0.2">
      <c r="A113" s="46">
        <v>4</v>
      </c>
    </row>
    <row r="114" spans="1:1" s="41" customFormat="1" x14ac:dyDescent="0.2">
      <c r="A114" s="45">
        <v>2</v>
      </c>
    </row>
    <row r="115" spans="1:1" s="41" customFormat="1" x14ac:dyDescent="0.2">
      <c r="A115" s="46">
        <v>4</v>
      </c>
    </row>
    <row r="116" spans="1:1" s="41" customFormat="1" x14ac:dyDescent="0.2">
      <c r="A116" s="45">
        <v>5</v>
      </c>
    </row>
    <row r="117" spans="1:1" s="41" customFormat="1" x14ac:dyDescent="0.2">
      <c r="A117" s="46">
        <v>4</v>
      </c>
    </row>
    <row r="118" spans="1:1" s="41" customFormat="1" x14ac:dyDescent="0.2">
      <c r="A118" s="45">
        <v>4</v>
      </c>
    </row>
    <row r="119" spans="1:1" s="41" customFormat="1" x14ac:dyDescent="0.2">
      <c r="A119" s="46">
        <v>4</v>
      </c>
    </row>
    <row r="120" spans="1:1" s="41" customFormat="1" x14ac:dyDescent="0.2">
      <c r="A120" s="45">
        <v>5</v>
      </c>
    </row>
    <row r="121" spans="1:1" s="41" customFormat="1" x14ac:dyDescent="0.2">
      <c r="A121" s="46">
        <v>3</v>
      </c>
    </row>
    <row r="122" spans="1:1" s="41" customFormat="1" x14ac:dyDescent="0.2">
      <c r="A122" s="45">
        <v>4</v>
      </c>
    </row>
    <row r="123" spans="1:1" s="41" customFormat="1" x14ac:dyDescent="0.2">
      <c r="A123" s="46">
        <v>4</v>
      </c>
    </row>
    <row r="124" spans="1:1" s="41" customFormat="1" x14ac:dyDescent="0.2">
      <c r="A124" s="45">
        <v>4</v>
      </c>
    </row>
    <row r="125" spans="1:1" s="41" customFormat="1" x14ac:dyDescent="0.2">
      <c r="A125" s="46">
        <v>5</v>
      </c>
    </row>
    <row r="126" spans="1:1" s="41" customFormat="1" x14ac:dyDescent="0.2">
      <c r="A126" s="45">
        <v>2</v>
      </c>
    </row>
    <row r="127" spans="1:1" s="41" customFormat="1" x14ac:dyDescent="0.2">
      <c r="A127" s="46">
        <v>3</v>
      </c>
    </row>
    <row r="128" spans="1:1" s="41" customFormat="1" x14ac:dyDescent="0.2">
      <c r="A128" s="45">
        <v>4</v>
      </c>
    </row>
    <row r="129" spans="1:1" s="41" customFormat="1" x14ac:dyDescent="0.2">
      <c r="A129" s="46">
        <v>5</v>
      </c>
    </row>
    <row r="130" spans="1:1" s="41" customFormat="1" x14ac:dyDescent="0.2">
      <c r="A130" s="45">
        <v>4</v>
      </c>
    </row>
    <row r="131" spans="1:1" s="41" customFormat="1" x14ac:dyDescent="0.2">
      <c r="A131" s="46">
        <v>3</v>
      </c>
    </row>
    <row r="132" spans="1:1" s="41" customFormat="1" x14ac:dyDescent="0.2">
      <c r="A132" s="45">
        <v>5</v>
      </c>
    </row>
    <row r="133" spans="1:1" s="41" customFormat="1" x14ac:dyDescent="0.2">
      <c r="A133" s="46">
        <v>3</v>
      </c>
    </row>
    <row r="134" spans="1:1" s="41" customFormat="1" x14ac:dyDescent="0.2">
      <c r="A134" s="45">
        <v>5</v>
      </c>
    </row>
    <row r="135" spans="1:1" s="41" customFormat="1" x14ac:dyDescent="0.2">
      <c r="A135" s="46">
        <v>4</v>
      </c>
    </row>
    <row r="136" spans="1:1" s="41" customFormat="1" x14ac:dyDescent="0.2">
      <c r="A136" s="45">
        <v>5</v>
      </c>
    </row>
    <row r="137" spans="1:1" s="41" customFormat="1" x14ac:dyDescent="0.2">
      <c r="A137" s="46">
        <v>5</v>
      </c>
    </row>
    <row r="138" spans="1:1" s="41" customFormat="1" x14ac:dyDescent="0.2">
      <c r="A138" s="45">
        <v>3</v>
      </c>
    </row>
    <row r="139" spans="1:1" s="41" customFormat="1" x14ac:dyDescent="0.2">
      <c r="A139" s="46">
        <v>2</v>
      </c>
    </row>
    <row r="140" spans="1:1" s="41" customFormat="1" x14ac:dyDescent="0.2">
      <c r="A140" s="45">
        <v>5</v>
      </c>
    </row>
    <row r="141" spans="1:1" s="41" customFormat="1" x14ac:dyDescent="0.2">
      <c r="A141" s="46">
        <v>3</v>
      </c>
    </row>
    <row r="142" spans="1:1" s="41" customFormat="1" x14ac:dyDescent="0.2">
      <c r="A142" s="45">
        <v>4</v>
      </c>
    </row>
    <row r="143" spans="1:1" s="41" customFormat="1" x14ac:dyDescent="0.2">
      <c r="A143" s="46">
        <v>5</v>
      </c>
    </row>
    <row r="144" spans="1:1" s="41" customFormat="1" x14ac:dyDescent="0.2">
      <c r="A144" s="45">
        <v>4</v>
      </c>
    </row>
    <row r="145" spans="1:1" s="41" customFormat="1" x14ac:dyDescent="0.2">
      <c r="A145" s="46">
        <v>5</v>
      </c>
    </row>
    <row r="146" spans="1:1" s="41" customFormat="1" x14ac:dyDescent="0.2">
      <c r="A146" s="45">
        <v>4</v>
      </c>
    </row>
    <row r="147" spans="1:1" s="41" customFormat="1" x14ac:dyDescent="0.2">
      <c r="A147" s="46">
        <v>3</v>
      </c>
    </row>
    <row r="148" spans="1:1" s="41" customFormat="1" x14ac:dyDescent="0.2">
      <c r="A148" s="45">
        <v>5</v>
      </c>
    </row>
    <row r="149" spans="1:1" s="41" customFormat="1" x14ac:dyDescent="0.2">
      <c r="A149" s="46">
        <v>4</v>
      </c>
    </row>
    <row r="150" spans="1:1" s="41" customFormat="1" x14ac:dyDescent="0.2">
      <c r="A150" s="45">
        <v>3</v>
      </c>
    </row>
    <row r="151" spans="1:1" s="41" customFormat="1" x14ac:dyDescent="0.2">
      <c r="A151" s="46">
        <v>4</v>
      </c>
    </row>
    <row r="152" spans="1:1" s="41" customFormat="1" x14ac:dyDescent="0.2">
      <c r="A152" s="47">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B614-6B87-4266-B3AA-A3969974DA12}">
  <dimension ref="A3:B10"/>
  <sheetViews>
    <sheetView topLeftCell="C10" workbookViewId="0">
      <selection activeCell="A20" sqref="A20"/>
    </sheetView>
  </sheetViews>
  <sheetFormatPr baseColWidth="10" defaultColWidth="10.83203125" defaultRowHeight="15" x14ac:dyDescent="0.2"/>
  <cols>
    <col min="1" max="1" width="86.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41</v>
      </c>
      <c r="B4" t="s">
        <v>485</v>
      </c>
    </row>
    <row r="5" spans="1:2" x14ac:dyDescent="0.2">
      <c r="A5" t="s">
        <v>690</v>
      </c>
      <c r="B5" s="26">
        <v>0.17218543046357615</v>
      </c>
    </row>
    <row r="6" spans="1:2" x14ac:dyDescent="0.2">
      <c r="A6" t="s">
        <v>691</v>
      </c>
      <c r="B6" s="26">
        <v>0.27814569536423839</v>
      </c>
    </row>
    <row r="7" spans="1:2" x14ac:dyDescent="0.2">
      <c r="A7" t="s">
        <v>692</v>
      </c>
      <c r="B7" s="26">
        <v>0.24503311258278146</v>
      </c>
    </row>
    <row r="8" spans="1:2" x14ac:dyDescent="0.2">
      <c r="A8" t="s">
        <v>693</v>
      </c>
      <c r="B8" s="26">
        <v>0.26490066225165565</v>
      </c>
    </row>
    <row r="9" spans="1:2" x14ac:dyDescent="0.2">
      <c r="A9" t="s">
        <v>694</v>
      </c>
      <c r="B9" s="26">
        <v>3.9735099337748346E-2</v>
      </c>
    </row>
    <row r="10" spans="1:2" x14ac:dyDescent="0.2">
      <c r="A10" t="s">
        <v>6</v>
      </c>
      <c r="B10" s="26">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209C-A301-134B-BADD-672B34BDFA1A}">
  <dimension ref="A1:G152"/>
  <sheetViews>
    <sheetView zoomScale="90" zoomScaleNormal="90" workbookViewId="0">
      <selection activeCell="B17" sqref="B17"/>
    </sheetView>
  </sheetViews>
  <sheetFormatPr baseColWidth="10" defaultColWidth="10.83203125" defaultRowHeight="15" x14ac:dyDescent="0.2"/>
  <cols>
    <col min="1" max="1" width="34.5" bestFit="1" customWidth="1"/>
    <col min="3" max="3" width="48.83203125" customWidth="1"/>
    <col min="6" max="6" width="25.5" customWidth="1"/>
  </cols>
  <sheetData>
    <row r="1" spans="1:7" s="41" customFormat="1" ht="52" x14ac:dyDescent="0.2">
      <c r="A1" s="44" t="s">
        <v>41</v>
      </c>
      <c r="C1" s="44" t="s">
        <v>41</v>
      </c>
      <c r="D1" s="41" t="s">
        <v>485</v>
      </c>
      <c r="F1" s="44" t="str">
        <f>C1</f>
        <v>Vous sentez-vous suffisamment informé(e) sur l’ostéopathie et ses indications durant la grossesse ?</v>
      </c>
      <c r="G1" s="41" t="s">
        <v>575</v>
      </c>
    </row>
    <row r="2" spans="1:7" s="41" customFormat="1" ht="16" x14ac:dyDescent="0.2">
      <c r="A2" s="45">
        <v>3</v>
      </c>
      <c r="C2" s="41" t="s">
        <v>556</v>
      </c>
      <c r="D2" s="41">
        <f>COUNTIF(A2:A152,"1")</f>
        <v>26</v>
      </c>
      <c r="F2" s="41" t="str">
        <f t="shared" ref="F2" si="0">C2&amp;" "&amp;"(n="&amp;D2&amp;")"</f>
        <v>1 = Non pas du tout  (n=26)</v>
      </c>
      <c r="G2" s="48">
        <f>D2/SUM(D$2:D$6)</f>
        <v>0.17218543046357615</v>
      </c>
    </row>
    <row r="3" spans="1:7" s="41" customFormat="1" ht="16" x14ac:dyDescent="0.2">
      <c r="A3" s="46">
        <v>3</v>
      </c>
      <c r="C3" s="41" t="s">
        <v>558</v>
      </c>
      <c r="D3" s="41">
        <f>COUNTIF(A2:A152,"2")</f>
        <v>42</v>
      </c>
      <c r="F3" s="41" t="str">
        <f t="shared" ref="F3:F6" si="1">C3&amp;" "&amp;"(n="&amp;D3&amp;")"</f>
        <v>2 = Plutôt non (n=42)</v>
      </c>
      <c r="G3" s="48">
        <f>D3/SUM(D$2:D$6)</f>
        <v>0.27814569536423839</v>
      </c>
    </row>
    <row r="4" spans="1:7" s="41" customFormat="1" ht="16" x14ac:dyDescent="0.2">
      <c r="A4" s="45">
        <v>2</v>
      </c>
      <c r="C4" s="41" t="s">
        <v>560</v>
      </c>
      <c r="D4" s="41">
        <f>COUNTIF(A2:A152,"3")</f>
        <v>37</v>
      </c>
      <c r="F4" s="41" t="str">
        <f t="shared" si="1"/>
        <v>3 = Moyennement  (n=37)</v>
      </c>
      <c r="G4" s="48">
        <f>D4/SUM(D$2:D$6)</f>
        <v>0.24503311258278146</v>
      </c>
    </row>
    <row r="5" spans="1:7" s="41" customFormat="1" ht="16" x14ac:dyDescent="0.2">
      <c r="A5" s="46">
        <v>2</v>
      </c>
      <c r="C5" s="41" t="s">
        <v>559</v>
      </c>
      <c r="D5" s="41">
        <f>COUNTIF(A2:A152,"4")</f>
        <v>40</v>
      </c>
      <c r="F5" s="41" t="str">
        <f t="shared" si="1"/>
        <v>4 = Plutôt oui  (n=40)</v>
      </c>
      <c r="G5" s="48">
        <f>D5/SUM(D$2:D$6)</f>
        <v>0.26490066225165565</v>
      </c>
    </row>
    <row r="6" spans="1:7" s="41" customFormat="1" ht="16" x14ac:dyDescent="0.2">
      <c r="A6" s="45">
        <v>2</v>
      </c>
      <c r="C6" s="41" t="s">
        <v>557</v>
      </c>
      <c r="D6" s="41">
        <f>COUNTIF(A2:A152,"5")</f>
        <v>6</v>
      </c>
      <c r="F6" s="41" t="str">
        <f t="shared" si="1"/>
        <v>5 = Oui tout à fait  (n=6)</v>
      </c>
      <c r="G6" s="48">
        <f>D6/SUM(D$2:D$6)</f>
        <v>3.9735099337748346E-2</v>
      </c>
    </row>
    <row r="7" spans="1:7" s="41" customFormat="1" x14ac:dyDescent="0.2">
      <c r="A7" s="46">
        <v>4</v>
      </c>
    </row>
    <row r="8" spans="1:7" s="41" customFormat="1" x14ac:dyDescent="0.2">
      <c r="A8" s="45">
        <v>1</v>
      </c>
      <c r="D8" s="41">
        <f>SUM(D2:D6)</f>
        <v>151</v>
      </c>
      <c r="G8" s="48">
        <f>SUM(G2:G6)</f>
        <v>1</v>
      </c>
    </row>
    <row r="9" spans="1:7" s="41" customFormat="1" x14ac:dyDescent="0.2">
      <c r="A9" s="46">
        <v>1</v>
      </c>
    </row>
    <row r="10" spans="1:7" s="41" customFormat="1" x14ac:dyDescent="0.2">
      <c r="A10" s="45">
        <v>4</v>
      </c>
    </row>
    <row r="11" spans="1:7" s="41" customFormat="1" x14ac:dyDescent="0.2">
      <c r="A11" s="46">
        <v>3</v>
      </c>
    </row>
    <row r="12" spans="1:7" s="41" customFormat="1" x14ac:dyDescent="0.2">
      <c r="A12" s="45">
        <v>4</v>
      </c>
    </row>
    <row r="13" spans="1:7" s="41" customFormat="1" x14ac:dyDescent="0.2">
      <c r="A13" s="46">
        <v>1</v>
      </c>
    </row>
    <row r="14" spans="1:7" s="41" customFormat="1" x14ac:dyDescent="0.2">
      <c r="A14" s="45">
        <v>3</v>
      </c>
    </row>
    <row r="15" spans="1:7" s="41" customFormat="1" x14ac:dyDescent="0.2">
      <c r="A15" s="46">
        <v>4</v>
      </c>
    </row>
    <row r="16" spans="1:7" s="41" customFormat="1" x14ac:dyDescent="0.2">
      <c r="A16" s="45">
        <v>4</v>
      </c>
    </row>
    <row r="17" spans="1:1" s="41" customFormat="1" x14ac:dyDescent="0.2">
      <c r="A17" s="46">
        <v>2</v>
      </c>
    </row>
    <row r="18" spans="1:1" s="41" customFormat="1" x14ac:dyDescent="0.2">
      <c r="A18" s="45">
        <v>3</v>
      </c>
    </row>
    <row r="19" spans="1:1" s="41" customFormat="1" x14ac:dyDescent="0.2">
      <c r="A19" s="46">
        <v>3</v>
      </c>
    </row>
    <row r="20" spans="1:1" s="41" customFormat="1" x14ac:dyDescent="0.2">
      <c r="A20" s="45">
        <v>2</v>
      </c>
    </row>
    <row r="21" spans="1:1" s="41" customFormat="1" x14ac:dyDescent="0.2">
      <c r="A21" s="46">
        <v>3</v>
      </c>
    </row>
    <row r="22" spans="1:1" s="41" customFormat="1" x14ac:dyDescent="0.2">
      <c r="A22" s="45">
        <v>3</v>
      </c>
    </row>
    <row r="23" spans="1:1" s="41" customFormat="1" x14ac:dyDescent="0.2">
      <c r="A23" s="46">
        <v>1</v>
      </c>
    </row>
    <row r="24" spans="1:1" s="41" customFormat="1" x14ac:dyDescent="0.2">
      <c r="A24" s="45">
        <v>4</v>
      </c>
    </row>
    <row r="25" spans="1:1" s="41" customFormat="1" x14ac:dyDescent="0.2">
      <c r="A25" s="46">
        <v>1</v>
      </c>
    </row>
    <row r="26" spans="1:1" s="41" customFormat="1" x14ac:dyDescent="0.2">
      <c r="A26" s="45">
        <v>4</v>
      </c>
    </row>
    <row r="27" spans="1:1" s="41" customFormat="1" x14ac:dyDescent="0.2">
      <c r="A27" s="46">
        <v>4</v>
      </c>
    </row>
    <row r="28" spans="1:1" s="41" customFormat="1" x14ac:dyDescent="0.2">
      <c r="A28" s="45">
        <v>1</v>
      </c>
    </row>
    <row r="29" spans="1:1" s="41" customFormat="1" x14ac:dyDescent="0.2">
      <c r="A29" s="46">
        <v>3</v>
      </c>
    </row>
    <row r="30" spans="1:1" s="41" customFormat="1" x14ac:dyDescent="0.2">
      <c r="A30" s="45">
        <v>4</v>
      </c>
    </row>
    <row r="31" spans="1:1" s="41" customFormat="1" x14ac:dyDescent="0.2">
      <c r="A31" s="46">
        <v>2</v>
      </c>
    </row>
    <row r="32" spans="1:1" s="41" customFormat="1" x14ac:dyDescent="0.2">
      <c r="A32" s="45">
        <v>4</v>
      </c>
    </row>
    <row r="33" spans="1:1" s="41" customFormat="1" x14ac:dyDescent="0.2">
      <c r="A33" s="46">
        <v>4</v>
      </c>
    </row>
    <row r="34" spans="1:1" s="41" customFormat="1" x14ac:dyDescent="0.2">
      <c r="A34" s="45">
        <v>4</v>
      </c>
    </row>
    <row r="35" spans="1:1" s="41" customFormat="1" x14ac:dyDescent="0.2">
      <c r="A35" s="46">
        <v>4</v>
      </c>
    </row>
    <row r="36" spans="1:1" s="41" customFormat="1" x14ac:dyDescent="0.2">
      <c r="A36" s="45">
        <v>5</v>
      </c>
    </row>
    <row r="37" spans="1:1" s="41" customFormat="1" x14ac:dyDescent="0.2">
      <c r="A37" s="46">
        <v>3</v>
      </c>
    </row>
    <row r="38" spans="1:1" s="41" customFormat="1" x14ac:dyDescent="0.2">
      <c r="A38" s="45">
        <v>2</v>
      </c>
    </row>
    <row r="39" spans="1:1" s="41" customFormat="1" x14ac:dyDescent="0.2">
      <c r="A39" s="46">
        <v>4</v>
      </c>
    </row>
    <row r="40" spans="1:1" s="41" customFormat="1" x14ac:dyDescent="0.2">
      <c r="A40" s="45">
        <v>3</v>
      </c>
    </row>
    <row r="41" spans="1:1" s="41" customFormat="1" x14ac:dyDescent="0.2">
      <c r="A41" s="46">
        <v>4</v>
      </c>
    </row>
    <row r="42" spans="1:1" s="41" customFormat="1" x14ac:dyDescent="0.2">
      <c r="A42" s="45">
        <v>4</v>
      </c>
    </row>
    <row r="43" spans="1:1" s="41" customFormat="1" x14ac:dyDescent="0.2">
      <c r="A43" s="46">
        <v>1</v>
      </c>
    </row>
    <row r="44" spans="1:1" s="41" customFormat="1" x14ac:dyDescent="0.2">
      <c r="A44" s="45">
        <v>4</v>
      </c>
    </row>
    <row r="45" spans="1:1" s="41" customFormat="1" x14ac:dyDescent="0.2">
      <c r="A45" s="46">
        <v>3</v>
      </c>
    </row>
    <row r="46" spans="1:1" s="41" customFormat="1" x14ac:dyDescent="0.2">
      <c r="A46" s="45">
        <v>4</v>
      </c>
    </row>
    <row r="47" spans="1:1" s="41" customFormat="1" x14ac:dyDescent="0.2">
      <c r="A47" s="46">
        <v>4</v>
      </c>
    </row>
    <row r="48" spans="1:1" s="41" customFormat="1" x14ac:dyDescent="0.2">
      <c r="A48" s="45">
        <v>4</v>
      </c>
    </row>
    <row r="49" spans="1:1" s="41" customFormat="1" x14ac:dyDescent="0.2">
      <c r="A49" s="46">
        <v>4</v>
      </c>
    </row>
    <row r="50" spans="1:1" s="41" customFormat="1" x14ac:dyDescent="0.2">
      <c r="A50" s="45">
        <v>4</v>
      </c>
    </row>
    <row r="51" spans="1:1" s="41" customFormat="1" x14ac:dyDescent="0.2">
      <c r="A51" s="46">
        <v>2</v>
      </c>
    </row>
    <row r="52" spans="1:1" s="41" customFormat="1" x14ac:dyDescent="0.2">
      <c r="A52" s="45">
        <v>2</v>
      </c>
    </row>
    <row r="53" spans="1:1" s="41" customFormat="1" x14ac:dyDescent="0.2">
      <c r="A53" s="46">
        <v>2</v>
      </c>
    </row>
    <row r="54" spans="1:1" s="41" customFormat="1" x14ac:dyDescent="0.2">
      <c r="A54" s="45">
        <v>2</v>
      </c>
    </row>
    <row r="55" spans="1:1" s="41" customFormat="1" x14ac:dyDescent="0.2">
      <c r="A55" s="46">
        <v>1</v>
      </c>
    </row>
    <row r="56" spans="1:1" s="41" customFormat="1" x14ac:dyDescent="0.2">
      <c r="A56" s="45">
        <v>1</v>
      </c>
    </row>
    <row r="57" spans="1:1" s="41" customFormat="1" x14ac:dyDescent="0.2">
      <c r="A57" s="46">
        <v>2</v>
      </c>
    </row>
    <row r="58" spans="1:1" s="41" customFormat="1" x14ac:dyDescent="0.2">
      <c r="A58" s="45">
        <v>3</v>
      </c>
    </row>
    <row r="59" spans="1:1" s="41" customFormat="1" x14ac:dyDescent="0.2">
      <c r="A59" s="46">
        <v>1</v>
      </c>
    </row>
    <row r="60" spans="1:1" s="41" customFormat="1" x14ac:dyDescent="0.2">
      <c r="A60" s="45">
        <v>3</v>
      </c>
    </row>
    <row r="61" spans="1:1" s="41" customFormat="1" x14ac:dyDescent="0.2">
      <c r="A61" s="46">
        <v>5</v>
      </c>
    </row>
    <row r="62" spans="1:1" s="41" customFormat="1" x14ac:dyDescent="0.2">
      <c r="A62" s="45">
        <v>2</v>
      </c>
    </row>
    <row r="63" spans="1:1" s="41" customFormat="1" x14ac:dyDescent="0.2">
      <c r="A63" s="46">
        <v>3</v>
      </c>
    </row>
    <row r="64" spans="1:1" s="41" customFormat="1" x14ac:dyDescent="0.2">
      <c r="A64" s="45">
        <v>1</v>
      </c>
    </row>
    <row r="65" spans="1:1" s="41" customFormat="1" x14ac:dyDescent="0.2">
      <c r="A65" s="46">
        <v>2</v>
      </c>
    </row>
    <row r="66" spans="1:1" s="41" customFormat="1" x14ac:dyDescent="0.2">
      <c r="A66" s="45">
        <v>2</v>
      </c>
    </row>
    <row r="67" spans="1:1" s="41" customFormat="1" x14ac:dyDescent="0.2">
      <c r="A67" s="46">
        <v>1</v>
      </c>
    </row>
    <row r="68" spans="1:1" s="41" customFormat="1" x14ac:dyDescent="0.2">
      <c r="A68" s="45">
        <v>3</v>
      </c>
    </row>
    <row r="69" spans="1:1" s="41" customFormat="1" x14ac:dyDescent="0.2">
      <c r="A69" s="46">
        <v>2</v>
      </c>
    </row>
    <row r="70" spans="1:1" s="41" customFormat="1" x14ac:dyDescent="0.2">
      <c r="A70" s="45">
        <v>4</v>
      </c>
    </row>
    <row r="71" spans="1:1" s="41" customFormat="1" x14ac:dyDescent="0.2">
      <c r="A71" s="46">
        <v>1</v>
      </c>
    </row>
    <row r="72" spans="1:1" s="41" customFormat="1" x14ac:dyDescent="0.2">
      <c r="A72" s="45">
        <v>2</v>
      </c>
    </row>
    <row r="73" spans="1:1" s="41" customFormat="1" x14ac:dyDescent="0.2">
      <c r="A73" s="46">
        <v>3</v>
      </c>
    </row>
    <row r="74" spans="1:1" s="41" customFormat="1" x14ac:dyDescent="0.2">
      <c r="A74" s="45">
        <v>3</v>
      </c>
    </row>
    <row r="75" spans="1:1" s="41" customFormat="1" x14ac:dyDescent="0.2">
      <c r="A75" s="46">
        <v>4</v>
      </c>
    </row>
    <row r="76" spans="1:1" s="41" customFormat="1" x14ac:dyDescent="0.2">
      <c r="A76" s="45">
        <v>2</v>
      </c>
    </row>
    <row r="77" spans="1:1" s="41" customFormat="1" x14ac:dyDescent="0.2">
      <c r="A77" s="46">
        <v>2</v>
      </c>
    </row>
    <row r="78" spans="1:1" s="41" customFormat="1" x14ac:dyDescent="0.2">
      <c r="A78" s="45">
        <v>1</v>
      </c>
    </row>
    <row r="79" spans="1:1" s="41" customFormat="1" x14ac:dyDescent="0.2">
      <c r="A79" s="46">
        <v>1</v>
      </c>
    </row>
    <row r="80" spans="1:1" s="41" customFormat="1" x14ac:dyDescent="0.2">
      <c r="A80" s="45">
        <v>3</v>
      </c>
    </row>
    <row r="81" spans="1:1" s="41" customFormat="1" x14ac:dyDescent="0.2">
      <c r="A81" s="46">
        <v>2</v>
      </c>
    </row>
    <row r="82" spans="1:1" s="41" customFormat="1" x14ac:dyDescent="0.2">
      <c r="A82" s="45">
        <v>3</v>
      </c>
    </row>
    <row r="83" spans="1:1" s="41" customFormat="1" x14ac:dyDescent="0.2">
      <c r="A83" s="46">
        <v>2</v>
      </c>
    </row>
    <row r="84" spans="1:1" s="41" customFormat="1" x14ac:dyDescent="0.2">
      <c r="A84" s="45">
        <v>2</v>
      </c>
    </row>
    <row r="85" spans="1:1" s="41" customFormat="1" x14ac:dyDescent="0.2">
      <c r="A85" s="46">
        <v>1</v>
      </c>
    </row>
    <row r="86" spans="1:1" s="41" customFormat="1" x14ac:dyDescent="0.2">
      <c r="A86" s="45">
        <v>2</v>
      </c>
    </row>
    <row r="87" spans="1:1" s="41" customFormat="1" x14ac:dyDescent="0.2">
      <c r="A87" s="46">
        <v>2</v>
      </c>
    </row>
    <row r="88" spans="1:1" s="41" customFormat="1" x14ac:dyDescent="0.2">
      <c r="A88" s="45">
        <v>2</v>
      </c>
    </row>
    <row r="89" spans="1:1" s="41" customFormat="1" x14ac:dyDescent="0.2">
      <c r="A89" s="46">
        <v>4</v>
      </c>
    </row>
    <row r="90" spans="1:1" s="41" customFormat="1" x14ac:dyDescent="0.2">
      <c r="A90" s="45">
        <v>3</v>
      </c>
    </row>
    <row r="91" spans="1:1" s="41" customFormat="1" x14ac:dyDescent="0.2">
      <c r="A91" s="46">
        <v>4</v>
      </c>
    </row>
    <row r="92" spans="1:1" s="41" customFormat="1" x14ac:dyDescent="0.2">
      <c r="A92" s="45">
        <v>4</v>
      </c>
    </row>
    <row r="93" spans="1:1" s="41" customFormat="1" x14ac:dyDescent="0.2">
      <c r="A93" s="46">
        <v>2</v>
      </c>
    </row>
    <row r="94" spans="1:1" s="41" customFormat="1" x14ac:dyDescent="0.2">
      <c r="A94" s="45">
        <v>4</v>
      </c>
    </row>
    <row r="95" spans="1:1" s="41" customFormat="1" x14ac:dyDescent="0.2">
      <c r="A95" s="46">
        <v>4</v>
      </c>
    </row>
    <row r="96" spans="1:1" s="41" customFormat="1" x14ac:dyDescent="0.2">
      <c r="A96" s="45">
        <v>2</v>
      </c>
    </row>
    <row r="97" spans="1:1" s="41" customFormat="1" x14ac:dyDescent="0.2">
      <c r="A97" s="46">
        <v>4</v>
      </c>
    </row>
    <row r="98" spans="1:1" s="41" customFormat="1" x14ac:dyDescent="0.2">
      <c r="A98" s="45">
        <v>3</v>
      </c>
    </row>
    <row r="99" spans="1:1" s="41" customFormat="1" x14ac:dyDescent="0.2">
      <c r="A99" s="46">
        <v>2</v>
      </c>
    </row>
    <row r="100" spans="1:1" s="41" customFormat="1" x14ac:dyDescent="0.2">
      <c r="A100" s="45">
        <v>4</v>
      </c>
    </row>
    <row r="101" spans="1:1" s="41" customFormat="1" x14ac:dyDescent="0.2">
      <c r="A101" s="46">
        <v>3</v>
      </c>
    </row>
    <row r="102" spans="1:1" s="41" customFormat="1" x14ac:dyDescent="0.2">
      <c r="A102" s="45">
        <v>5</v>
      </c>
    </row>
    <row r="103" spans="1:1" s="41" customFormat="1" x14ac:dyDescent="0.2">
      <c r="A103" s="46">
        <v>1</v>
      </c>
    </row>
    <row r="104" spans="1:1" s="41" customFormat="1" x14ac:dyDescent="0.2">
      <c r="A104" s="45">
        <v>4</v>
      </c>
    </row>
    <row r="105" spans="1:1" s="41" customFormat="1" x14ac:dyDescent="0.2">
      <c r="A105" s="46">
        <v>2</v>
      </c>
    </row>
    <row r="106" spans="1:1" s="41" customFormat="1" x14ac:dyDescent="0.2">
      <c r="A106" s="45">
        <v>2</v>
      </c>
    </row>
    <row r="107" spans="1:1" s="41" customFormat="1" x14ac:dyDescent="0.2">
      <c r="A107" s="46">
        <v>3</v>
      </c>
    </row>
    <row r="108" spans="1:1" s="41" customFormat="1" x14ac:dyDescent="0.2">
      <c r="A108" s="45">
        <v>3</v>
      </c>
    </row>
    <row r="109" spans="1:1" s="41" customFormat="1" x14ac:dyDescent="0.2">
      <c r="A109" s="46">
        <v>2</v>
      </c>
    </row>
    <row r="110" spans="1:1" s="41" customFormat="1" x14ac:dyDescent="0.2">
      <c r="A110" s="45">
        <v>2</v>
      </c>
    </row>
    <row r="111" spans="1:1" s="41" customFormat="1" x14ac:dyDescent="0.2">
      <c r="A111" s="46">
        <v>5</v>
      </c>
    </row>
    <row r="112" spans="1:1" s="41" customFormat="1" x14ac:dyDescent="0.2">
      <c r="A112" s="45">
        <v>3</v>
      </c>
    </row>
    <row r="113" spans="1:1" s="41" customFormat="1" x14ac:dyDescent="0.2">
      <c r="A113" s="46">
        <v>2</v>
      </c>
    </row>
    <row r="114" spans="1:1" s="41" customFormat="1" x14ac:dyDescent="0.2">
      <c r="A114" s="45">
        <v>2</v>
      </c>
    </row>
    <row r="115" spans="1:1" s="41" customFormat="1" x14ac:dyDescent="0.2">
      <c r="A115" s="46">
        <v>3</v>
      </c>
    </row>
    <row r="116" spans="1:1" s="41" customFormat="1" x14ac:dyDescent="0.2">
      <c r="A116" s="45">
        <v>4</v>
      </c>
    </row>
    <row r="117" spans="1:1" s="41" customFormat="1" x14ac:dyDescent="0.2">
      <c r="A117" s="46">
        <v>3</v>
      </c>
    </row>
    <row r="118" spans="1:1" s="41" customFormat="1" x14ac:dyDescent="0.2">
      <c r="A118" s="45">
        <v>3</v>
      </c>
    </row>
    <row r="119" spans="1:1" s="41" customFormat="1" x14ac:dyDescent="0.2">
      <c r="A119" s="46">
        <v>4</v>
      </c>
    </row>
    <row r="120" spans="1:1" s="41" customFormat="1" x14ac:dyDescent="0.2">
      <c r="A120" s="45">
        <v>4</v>
      </c>
    </row>
    <row r="121" spans="1:1" s="41" customFormat="1" x14ac:dyDescent="0.2">
      <c r="A121" s="46">
        <v>1</v>
      </c>
    </row>
    <row r="122" spans="1:1" s="41" customFormat="1" x14ac:dyDescent="0.2">
      <c r="A122" s="45">
        <v>2</v>
      </c>
    </row>
    <row r="123" spans="1:1" s="41" customFormat="1" x14ac:dyDescent="0.2">
      <c r="A123" s="46">
        <v>1</v>
      </c>
    </row>
    <row r="124" spans="1:1" s="41" customFormat="1" x14ac:dyDescent="0.2">
      <c r="A124" s="45">
        <v>2</v>
      </c>
    </row>
    <row r="125" spans="1:1" s="41" customFormat="1" x14ac:dyDescent="0.2">
      <c r="A125" s="46">
        <v>3</v>
      </c>
    </row>
    <row r="126" spans="1:1" s="41" customFormat="1" x14ac:dyDescent="0.2">
      <c r="A126" s="45">
        <v>2</v>
      </c>
    </row>
    <row r="127" spans="1:1" s="41" customFormat="1" x14ac:dyDescent="0.2">
      <c r="A127" s="46">
        <v>1</v>
      </c>
    </row>
    <row r="128" spans="1:1" s="41" customFormat="1" x14ac:dyDescent="0.2">
      <c r="A128" s="45">
        <v>4</v>
      </c>
    </row>
    <row r="129" spans="1:1" s="41" customFormat="1" x14ac:dyDescent="0.2">
      <c r="A129" s="46">
        <v>3</v>
      </c>
    </row>
    <row r="130" spans="1:1" s="41" customFormat="1" x14ac:dyDescent="0.2">
      <c r="A130" s="45">
        <v>2</v>
      </c>
    </row>
    <row r="131" spans="1:1" s="41" customFormat="1" x14ac:dyDescent="0.2">
      <c r="A131" s="46">
        <v>4</v>
      </c>
    </row>
    <row r="132" spans="1:1" s="41" customFormat="1" x14ac:dyDescent="0.2">
      <c r="A132" s="45">
        <v>3</v>
      </c>
    </row>
    <row r="133" spans="1:1" s="41" customFormat="1" x14ac:dyDescent="0.2">
      <c r="A133" s="46">
        <v>3</v>
      </c>
    </row>
    <row r="134" spans="1:1" s="41" customFormat="1" x14ac:dyDescent="0.2">
      <c r="A134" s="45">
        <v>2</v>
      </c>
    </row>
    <row r="135" spans="1:1" s="41" customFormat="1" x14ac:dyDescent="0.2">
      <c r="A135" s="46">
        <v>3</v>
      </c>
    </row>
    <row r="136" spans="1:1" s="41" customFormat="1" x14ac:dyDescent="0.2">
      <c r="A136" s="45">
        <v>4</v>
      </c>
    </row>
    <row r="137" spans="1:1" s="41" customFormat="1" x14ac:dyDescent="0.2">
      <c r="A137" s="46">
        <v>2</v>
      </c>
    </row>
    <row r="138" spans="1:1" s="41" customFormat="1" x14ac:dyDescent="0.2">
      <c r="A138" s="45">
        <v>1</v>
      </c>
    </row>
    <row r="139" spans="1:1" s="41" customFormat="1" x14ac:dyDescent="0.2">
      <c r="A139" s="46">
        <v>2</v>
      </c>
    </row>
    <row r="140" spans="1:1" s="41" customFormat="1" x14ac:dyDescent="0.2">
      <c r="A140" s="45">
        <v>4</v>
      </c>
    </row>
    <row r="141" spans="1:1" s="41" customFormat="1" x14ac:dyDescent="0.2">
      <c r="A141" s="46">
        <v>1</v>
      </c>
    </row>
    <row r="142" spans="1:1" s="41" customFormat="1" x14ac:dyDescent="0.2">
      <c r="A142" s="45">
        <v>1</v>
      </c>
    </row>
    <row r="143" spans="1:1" s="41" customFormat="1" x14ac:dyDescent="0.2">
      <c r="A143" s="46">
        <v>5</v>
      </c>
    </row>
    <row r="144" spans="1:1" s="41" customFormat="1" x14ac:dyDescent="0.2">
      <c r="A144" s="45">
        <v>4</v>
      </c>
    </row>
    <row r="145" spans="1:1" s="41" customFormat="1" x14ac:dyDescent="0.2">
      <c r="A145" s="46">
        <v>3</v>
      </c>
    </row>
    <row r="146" spans="1:1" s="41" customFormat="1" x14ac:dyDescent="0.2">
      <c r="A146" s="45">
        <v>3</v>
      </c>
    </row>
    <row r="147" spans="1:1" s="41" customFormat="1" x14ac:dyDescent="0.2">
      <c r="A147" s="46">
        <v>3</v>
      </c>
    </row>
    <row r="148" spans="1:1" s="41" customFormat="1" x14ac:dyDescent="0.2">
      <c r="A148" s="45">
        <v>5</v>
      </c>
    </row>
    <row r="149" spans="1:1" s="41" customFormat="1" x14ac:dyDescent="0.2">
      <c r="A149" s="46">
        <v>1</v>
      </c>
    </row>
    <row r="150" spans="1:1" s="41" customFormat="1" x14ac:dyDescent="0.2">
      <c r="A150" s="45">
        <v>1</v>
      </c>
    </row>
    <row r="151" spans="1:1" s="41" customFormat="1" x14ac:dyDescent="0.2">
      <c r="A151" s="46">
        <v>1</v>
      </c>
    </row>
    <row r="152" spans="1:1" s="41" customFormat="1" x14ac:dyDescent="0.2">
      <c r="A152" s="47">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A5DE-147D-44B5-936A-D77A558C2252}">
  <dimension ref="A3:E7"/>
  <sheetViews>
    <sheetView topLeftCell="B9" workbookViewId="0">
      <selection activeCell="B17" sqref="B17"/>
    </sheetView>
  </sheetViews>
  <sheetFormatPr baseColWidth="10" defaultColWidth="11.83203125" defaultRowHeight="15" x14ac:dyDescent="0.2"/>
  <cols>
    <col min="1" max="1" width="19.1640625" bestFit="1" customWidth="1"/>
    <col min="2" max="2" width="29.33203125" customWidth="1"/>
    <col min="3" max="3" width="11.83203125" customWidth="1"/>
    <col min="4" max="4" width="20.5" customWidth="1"/>
    <col min="5" max="5" width="23" customWidth="1"/>
  </cols>
  <sheetData>
    <row r="3" spans="1:5" s="31" customFormat="1" ht="80" x14ac:dyDescent="0.2">
      <c r="A3" s="62" t="s">
        <v>0</v>
      </c>
      <c r="B3" s="58" t="s">
        <v>10</v>
      </c>
      <c r="E3" s="32" t="str">
        <f>Feuil1!G1</f>
        <v>Q7 : Avez-vous accès, au sein de votre structure, à un réseau d’ostéopathes vers lesquels orienter vos patientes ?</v>
      </c>
    </row>
    <row r="4" spans="1:5" x14ac:dyDescent="0.2">
      <c r="A4" s="3" t="s">
        <v>11</v>
      </c>
      <c r="B4" s="2">
        <v>75</v>
      </c>
      <c r="D4" t="str">
        <f>A4&amp;" "&amp;"(n="&amp;B4&amp;")"</f>
        <v>Non (n=75)</v>
      </c>
      <c r="E4" s="25">
        <f>B4/B$7</f>
        <v>0.49668874172185429</v>
      </c>
    </row>
    <row r="5" spans="1:5" x14ac:dyDescent="0.2">
      <c r="A5" s="4" t="s">
        <v>12</v>
      </c>
      <c r="B5" s="5">
        <v>55</v>
      </c>
      <c r="D5" t="str">
        <f>A5&amp;" "&amp;"(n="&amp;B5&amp;")"</f>
        <v>Oui (n=55)</v>
      </c>
      <c r="E5" s="25">
        <f>B5/B$7</f>
        <v>0.36423841059602646</v>
      </c>
    </row>
    <row r="6" spans="1:5" x14ac:dyDescent="0.2">
      <c r="A6" s="4" t="s">
        <v>13</v>
      </c>
      <c r="B6" s="5">
        <v>21</v>
      </c>
      <c r="D6" t="str">
        <f>A6&amp;" "&amp;"(n="&amp;B6&amp;")"</f>
        <v>Sans avis (n=21)</v>
      </c>
      <c r="E6" s="25">
        <f>B6/B$7</f>
        <v>0.13907284768211919</v>
      </c>
    </row>
    <row r="7" spans="1:5" x14ac:dyDescent="0.2">
      <c r="A7" s="6" t="s">
        <v>6</v>
      </c>
      <c r="B7" s="7">
        <v>151</v>
      </c>
      <c r="E7" s="25">
        <f>SUM(E4:E6)</f>
        <v>1</v>
      </c>
    </row>
  </sheetData>
  <pageMargins left="0.70000000000000007" right="0.70000000000000007" top="0.75" bottom="0.75" header="0.30000000000000004" footer="0.30000000000000004"/>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72DA6-9078-4DDF-AF3F-DFC893C1E03B}">
  <dimension ref="A3:E8"/>
  <sheetViews>
    <sheetView topLeftCell="D9" workbookViewId="0">
      <selection activeCell="G16" sqref="G16"/>
    </sheetView>
  </sheetViews>
  <sheetFormatPr baseColWidth="10" defaultColWidth="11.83203125" defaultRowHeight="15" x14ac:dyDescent="0.2"/>
  <cols>
    <col min="1" max="1" width="40.83203125" bestFit="1" customWidth="1"/>
    <col min="2" max="2" width="27" customWidth="1"/>
    <col min="3" max="3" width="11.83203125" customWidth="1"/>
    <col min="4" max="4" width="49.5" bestFit="1" customWidth="1"/>
    <col min="5" max="5" width="22.5" customWidth="1"/>
  </cols>
  <sheetData>
    <row r="3" spans="1:5" s="41" customFormat="1" ht="58.25" customHeight="1" x14ac:dyDescent="0.2">
      <c r="A3" s="63" t="s">
        <v>0</v>
      </c>
      <c r="B3" s="64" t="s">
        <v>14</v>
      </c>
      <c r="E3" s="48" t="str">
        <f>Feuil1!H1</f>
        <v>Q8 : La collaboration avec un(e) ostéopathe fait-elle partie intégrante de votre pratique ?</v>
      </c>
    </row>
    <row r="4" spans="1:5" x14ac:dyDescent="0.2">
      <c r="A4" s="3" t="s">
        <v>11</v>
      </c>
      <c r="B4" s="2">
        <v>44</v>
      </c>
      <c r="D4" t="str">
        <f>A4&amp;" "&amp;"(n="&amp;B4&amp;")"</f>
        <v>Non (n=44)</v>
      </c>
      <c r="E4" s="25">
        <f>B4/B$8</f>
        <v>0.29139072847682118</v>
      </c>
    </row>
    <row r="5" spans="1:5" x14ac:dyDescent="0.2">
      <c r="A5" s="4" t="s">
        <v>15</v>
      </c>
      <c r="B5" s="5">
        <v>44</v>
      </c>
      <c r="D5" t="str">
        <f>A5&amp;" "&amp;"(n="&amp;B5&amp;")"</f>
        <v>Oui, occasionnellement (&gt; ou = à 1 fois par mois) (n=44)</v>
      </c>
      <c r="E5" s="25">
        <f>B5/B$8</f>
        <v>0.29139072847682118</v>
      </c>
    </row>
    <row r="6" spans="1:5" x14ac:dyDescent="0.2">
      <c r="A6" s="4" t="s">
        <v>16</v>
      </c>
      <c r="B6" s="5">
        <v>27</v>
      </c>
      <c r="D6" t="str">
        <f>A6&amp;" "&amp;"(n="&amp;B6&amp;")"</f>
        <v>Oui, rarement (&lt; à 1 fois par mois) (n=27)</v>
      </c>
      <c r="E6" s="25">
        <f>B6/B$8</f>
        <v>0.17880794701986755</v>
      </c>
    </row>
    <row r="7" spans="1:5" x14ac:dyDescent="0.2">
      <c r="A7" s="4" t="s">
        <v>17</v>
      </c>
      <c r="B7" s="5">
        <v>36</v>
      </c>
      <c r="D7" t="str">
        <f>A7&amp;" "&amp;"(n="&amp;B7&amp;")"</f>
        <v>Oui, régulièrement (&gt; ou = à 1 fois par semaine) (n=36)</v>
      </c>
      <c r="E7" s="25">
        <f>B7/B$8</f>
        <v>0.23841059602649006</v>
      </c>
    </row>
    <row r="8" spans="1:5" x14ac:dyDescent="0.2">
      <c r="A8" s="6" t="s">
        <v>6</v>
      </c>
      <c r="B8" s="7">
        <v>151</v>
      </c>
      <c r="E8" s="25">
        <f>SUM(E4:E7)</f>
        <v>1</v>
      </c>
    </row>
  </sheetData>
  <pageMargins left="0.70000000000000007" right="0.70000000000000007" top="0.75" bottom="0.75" header="0.30000000000000004" footer="0.30000000000000004"/>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9640-9E91-49FE-A574-4AED76A18960}">
  <dimension ref="A3:B14"/>
  <sheetViews>
    <sheetView topLeftCell="D1" workbookViewId="0">
      <selection activeCell="O16" sqref="O16"/>
    </sheetView>
  </sheetViews>
  <sheetFormatPr baseColWidth="10" defaultColWidth="10.83203125" defaultRowHeight="15" x14ac:dyDescent="0.2"/>
  <cols>
    <col min="1" max="1" width="36.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42</v>
      </c>
      <c r="B4" t="s">
        <v>485</v>
      </c>
    </row>
    <row r="5" spans="1:2" x14ac:dyDescent="0.2">
      <c r="A5" t="s">
        <v>584</v>
      </c>
      <c r="B5" s="26">
        <v>6.25E-2</v>
      </c>
    </row>
    <row r="6" spans="1:2" x14ac:dyDescent="0.2">
      <c r="A6" t="s">
        <v>580</v>
      </c>
      <c r="B6" s="26">
        <v>0.30312499999999998</v>
      </c>
    </row>
    <row r="7" spans="1:2" x14ac:dyDescent="0.2">
      <c r="A7" t="s">
        <v>583</v>
      </c>
      <c r="B7" s="26">
        <v>3.4375000000000003E-2</v>
      </c>
    </row>
    <row r="8" spans="1:2" x14ac:dyDescent="0.2">
      <c r="A8" t="s">
        <v>586</v>
      </c>
      <c r="B8" s="26">
        <v>1.2500000000000001E-2</v>
      </c>
    </row>
    <row r="9" spans="1:2" x14ac:dyDescent="0.2">
      <c r="A9" t="s">
        <v>582</v>
      </c>
      <c r="B9" s="26">
        <v>0.265625</v>
      </c>
    </row>
    <row r="10" spans="1:2" x14ac:dyDescent="0.2">
      <c r="A10" t="s">
        <v>579</v>
      </c>
      <c r="B10" s="26">
        <v>6.5625000000000003E-2</v>
      </c>
    </row>
    <row r="11" spans="1:2" x14ac:dyDescent="0.2">
      <c r="A11" t="s">
        <v>585</v>
      </c>
      <c r="B11" s="26">
        <v>3.125E-2</v>
      </c>
    </row>
    <row r="12" spans="1:2" x14ac:dyDescent="0.2">
      <c r="A12" t="s">
        <v>578</v>
      </c>
      <c r="B12" s="26">
        <v>0.15937499999999999</v>
      </c>
    </row>
    <row r="13" spans="1:2" x14ac:dyDescent="0.2">
      <c r="A13" t="s">
        <v>581</v>
      </c>
      <c r="B13" s="26">
        <v>6.5625000000000003E-2</v>
      </c>
    </row>
    <row r="14" spans="1:2" x14ac:dyDescent="0.2">
      <c r="A14" t="s">
        <v>6</v>
      </c>
      <c r="B14" s="26">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DCBA-8A70-4DA8-A1D5-D1D04B9DCEC0}">
  <dimension ref="A1:G152"/>
  <sheetViews>
    <sheetView topLeftCell="B1" workbookViewId="0">
      <selection activeCell="G16" sqref="G16"/>
    </sheetView>
  </sheetViews>
  <sheetFormatPr baseColWidth="10" defaultColWidth="11.83203125" defaultRowHeight="15" x14ac:dyDescent="0.2"/>
  <cols>
    <col min="1" max="1" width="34.5" bestFit="1" customWidth="1"/>
    <col min="2" max="2" width="11.83203125" customWidth="1"/>
    <col min="3" max="3" width="42.6640625" customWidth="1"/>
    <col min="4" max="4" width="9.5" customWidth="1"/>
    <col min="5" max="5" width="11.83203125" customWidth="1"/>
    <col min="6" max="6" width="40.83203125" customWidth="1"/>
  </cols>
  <sheetData>
    <row r="1" spans="1:7" x14ac:dyDescent="0.2">
      <c r="A1" s="8" t="s">
        <v>42</v>
      </c>
      <c r="C1" s="8" t="str">
        <f>$A1</f>
        <v>Si oui, dans quel(s) cadre(s) ?</v>
      </c>
      <c r="D1" s="42" t="s">
        <v>485</v>
      </c>
      <c r="F1" s="8" t="str">
        <f>$A1</f>
        <v>Si oui, dans quel(s) cadre(s) ?</v>
      </c>
      <c r="G1" s="42" t="s">
        <v>575</v>
      </c>
    </row>
    <row r="2" spans="1:7" ht="27" x14ac:dyDescent="0.2">
      <c r="A2" s="9" t="s">
        <v>61</v>
      </c>
      <c r="C2" t="s">
        <v>429</v>
      </c>
      <c r="D2">
        <f>COUNTIF($A$2:$A$152,"*Suivi prénatal de grossesse*")</f>
        <v>51</v>
      </c>
      <c r="F2" t="str">
        <f t="shared" ref="F2:F10" si="0">C2&amp;" "&amp;"(n="&amp;D2&amp;")"</f>
        <v>Suivi prénatal de grossesse (n=51)</v>
      </c>
      <c r="G2" s="25">
        <f t="shared" ref="G2:G10" si="1">D2/SUM(D$2:D$10)</f>
        <v>0.15937499999999999</v>
      </c>
    </row>
    <row r="3" spans="1:7" ht="27" x14ac:dyDescent="0.2">
      <c r="A3" s="10" t="s">
        <v>76</v>
      </c>
      <c r="C3" t="s">
        <v>536</v>
      </c>
      <c r="D3">
        <f>COUNTIF($A$2:$A$152,"*Préparation à l’accouchement*")</f>
        <v>21</v>
      </c>
      <c r="F3" t="str">
        <f t="shared" si="0"/>
        <v>Préparation à l'accouchement  (n=21)</v>
      </c>
      <c r="G3" s="25">
        <f t="shared" si="1"/>
        <v>6.5625000000000003E-2</v>
      </c>
    </row>
    <row r="4" spans="1:7" x14ac:dyDescent="0.2">
      <c r="A4" s="12">
        <v>0</v>
      </c>
      <c r="C4" t="s">
        <v>533</v>
      </c>
      <c r="D4">
        <f>COUNTIF($A$2:$A$152,"*Douleurs lombaires et/ou pelviennes*")</f>
        <v>97</v>
      </c>
      <c r="F4" t="str">
        <f t="shared" si="0"/>
        <v>Douleurs lombaires et/ou pelviennes  (n=97)</v>
      </c>
      <c r="G4" s="25">
        <f t="shared" si="1"/>
        <v>0.30312499999999998</v>
      </c>
    </row>
    <row r="5" spans="1:7" x14ac:dyDescent="0.2">
      <c r="A5" s="10" t="s">
        <v>87</v>
      </c>
      <c r="C5" t="s">
        <v>538</v>
      </c>
      <c r="D5">
        <f>COUNTIF($A$2:$A$152,"*Troubles digestifs associés*")</f>
        <v>21</v>
      </c>
      <c r="F5" t="str">
        <f t="shared" si="0"/>
        <v>Troubles digestifs associés (n=21)</v>
      </c>
      <c r="G5" s="25">
        <f t="shared" si="1"/>
        <v>6.5625000000000003E-2</v>
      </c>
    </row>
    <row r="6" spans="1:7" ht="27" x14ac:dyDescent="0.2">
      <c r="A6" s="9" t="s">
        <v>94</v>
      </c>
      <c r="C6" t="s">
        <v>152</v>
      </c>
      <c r="D6">
        <f>COUNTIF($A$2:$A$152,"*Post-partum*")</f>
        <v>85</v>
      </c>
      <c r="F6" t="str">
        <f t="shared" si="0"/>
        <v>Post-partum (n=85)</v>
      </c>
      <c r="G6" s="25">
        <f t="shared" si="1"/>
        <v>0.265625</v>
      </c>
    </row>
    <row r="7" spans="1:7" ht="27" x14ac:dyDescent="0.2">
      <c r="A7" s="10" t="s">
        <v>99</v>
      </c>
      <c r="C7" t="s">
        <v>534</v>
      </c>
      <c r="D7">
        <f>COUNTIF($A$2:$A$152,"*Fertilité*")</f>
        <v>11</v>
      </c>
      <c r="F7" t="str">
        <f t="shared" si="0"/>
        <v>Fertilité (n=11)</v>
      </c>
      <c r="G7" s="25">
        <f t="shared" si="1"/>
        <v>3.4375000000000003E-2</v>
      </c>
    </row>
    <row r="8" spans="1:7" ht="27" x14ac:dyDescent="0.2">
      <c r="A8" s="9" t="s">
        <v>102</v>
      </c>
      <c r="C8" t="s">
        <v>505</v>
      </c>
      <c r="D8">
        <f>COUNTIF($A$2:$A$152,"*Allaitement*")</f>
        <v>20</v>
      </c>
      <c r="F8" t="str">
        <f t="shared" si="0"/>
        <v>Allaitement (n=20)</v>
      </c>
      <c r="G8" s="25">
        <f t="shared" si="1"/>
        <v>6.25E-2</v>
      </c>
    </row>
    <row r="9" spans="1:7" x14ac:dyDescent="0.2">
      <c r="A9" s="10" t="s">
        <v>87</v>
      </c>
      <c r="C9" t="s">
        <v>537</v>
      </c>
      <c r="D9">
        <f>COUNTIF($A$2:$A$152,"*Sphère émotionnelle*")</f>
        <v>10</v>
      </c>
      <c r="F9" t="str">
        <f t="shared" si="0"/>
        <v>Sphère émotionnelle  (n=10)</v>
      </c>
      <c r="G9" s="25">
        <f t="shared" si="1"/>
        <v>3.125E-2</v>
      </c>
    </row>
    <row r="10" spans="1:7" ht="40" x14ac:dyDescent="0.2">
      <c r="A10" s="9" t="s">
        <v>114</v>
      </c>
      <c r="C10" t="s">
        <v>535</v>
      </c>
      <c r="D10">
        <f>COUNTIF($A$2:$A$152,"*Nouveau-né*")</f>
        <v>4</v>
      </c>
      <c r="F10" t="str">
        <f t="shared" si="0"/>
        <v>Nouveau-né (n=4)</v>
      </c>
      <c r="G10" s="25">
        <f t="shared" si="1"/>
        <v>1.2500000000000001E-2</v>
      </c>
    </row>
    <row r="11" spans="1:7" ht="27" x14ac:dyDescent="0.2">
      <c r="A11" s="10" t="s">
        <v>119</v>
      </c>
    </row>
    <row r="12" spans="1:7" ht="40" x14ac:dyDescent="0.2">
      <c r="A12" s="9" t="s">
        <v>125</v>
      </c>
      <c r="D12">
        <f>SUM(D2:D10)</f>
        <v>320</v>
      </c>
      <c r="G12" s="25">
        <f>SUM(G2:G10)</f>
        <v>1</v>
      </c>
    </row>
    <row r="13" spans="1:7" x14ac:dyDescent="0.2">
      <c r="A13" s="13">
        <v>0</v>
      </c>
    </row>
    <row r="14" spans="1:7" ht="27" x14ac:dyDescent="0.2">
      <c r="A14" s="9" t="s">
        <v>99</v>
      </c>
    </row>
    <row r="15" spans="1:7" ht="27" x14ac:dyDescent="0.2">
      <c r="A15" s="10" t="s">
        <v>94</v>
      </c>
    </row>
    <row r="16" spans="1:7" x14ac:dyDescent="0.2">
      <c r="A16" s="9" t="s">
        <v>147</v>
      </c>
    </row>
    <row r="17" spans="1:1" x14ac:dyDescent="0.2">
      <c r="A17" s="10" t="s">
        <v>152</v>
      </c>
    </row>
    <row r="18" spans="1:1" ht="27" x14ac:dyDescent="0.2">
      <c r="A18" s="9" t="s">
        <v>158</v>
      </c>
    </row>
    <row r="19" spans="1:1" ht="27" x14ac:dyDescent="0.2">
      <c r="A19" s="10" t="s">
        <v>94</v>
      </c>
    </row>
    <row r="20" spans="1:1" x14ac:dyDescent="0.2">
      <c r="A20" s="12">
        <v>0</v>
      </c>
    </row>
    <row r="21" spans="1:1" x14ac:dyDescent="0.2">
      <c r="A21" s="13">
        <v>0</v>
      </c>
    </row>
    <row r="22" spans="1:1" x14ac:dyDescent="0.2">
      <c r="A22" s="12">
        <v>0</v>
      </c>
    </row>
    <row r="23" spans="1:1" x14ac:dyDescent="0.2">
      <c r="A23" s="13">
        <v>0</v>
      </c>
    </row>
    <row r="24" spans="1:1" ht="27" x14ac:dyDescent="0.2">
      <c r="A24" s="9" t="s">
        <v>182</v>
      </c>
    </row>
    <row r="25" spans="1:1" ht="27" x14ac:dyDescent="0.2">
      <c r="A25" s="10" t="s">
        <v>94</v>
      </c>
    </row>
    <row r="26" spans="1:1" ht="40" x14ac:dyDescent="0.2">
      <c r="A26" s="9" t="s">
        <v>125</v>
      </c>
    </row>
    <row r="27" spans="1:1" x14ac:dyDescent="0.2">
      <c r="A27" s="13">
        <v>0</v>
      </c>
    </row>
    <row r="28" spans="1:1" ht="40" x14ac:dyDescent="0.2">
      <c r="A28" s="9" t="s">
        <v>199</v>
      </c>
    </row>
    <row r="29" spans="1:1" ht="27" x14ac:dyDescent="0.2">
      <c r="A29" s="10" t="s">
        <v>99</v>
      </c>
    </row>
    <row r="30" spans="1:1" ht="66" x14ac:dyDescent="0.2">
      <c r="A30" s="9" t="s">
        <v>212</v>
      </c>
    </row>
    <row r="31" spans="1:1" x14ac:dyDescent="0.2">
      <c r="A31" s="13">
        <v>0</v>
      </c>
    </row>
    <row r="32" spans="1:1" ht="40" x14ac:dyDescent="0.2">
      <c r="A32" s="9" t="s">
        <v>214</v>
      </c>
    </row>
    <row r="33" spans="1:1" x14ac:dyDescent="0.2">
      <c r="A33" s="13">
        <v>0</v>
      </c>
    </row>
    <row r="34" spans="1:1" ht="53" x14ac:dyDescent="0.2">
      <c r="A34" s="9" t="s">
        <v>221</v>
      </c>
    </row>
    <row r="35" spans="1:1" ht="40" x14ac:dyDescent="0.2">
      <c r="A35" s="10" t="s">
        <v>226</v>
      </c>
    </row>
    <row r="36" spans="1:1" ht="53" x14ac:dyDescent="0.2">
      <c r="A36" s="9" t="s">
        <v>230</v>
      </c>
    </row>
    <row r="37" spans="1:1" ht="40" x14ac:dyDescent="0.2">
      <c r="A37" s="10" t="s">
        <v>234</v>
      </c>
    </row>
    <row r="38" spans="1:1" x14ac:dyDescent="0.2">
      <c r="A38" s="12">
        <v>0</v>
      </c>
    </row>
    <row r="39" spans="1:1" ht="53" x14ac:dyDescent="0.2">
      <c r="A39" s="10" t="s">
        <v>240</v>
      </c>
    </row>
    <row r="40" spans="1:1" ht="27" x14ac:dyDescent="0.2">
      <c r="A40" s="9" t="s">
        <v>99</v>
      </c>
    </row>
    <row r="41" spans="1:1" ht="40" x14ac:dyDescent="0.2">
      <c r="A41" s="10" t="s">
        <v>199</v>
      </c>
    </row>
    <row r="42" spans="1:1" x14ac:dyDescent="0.2">
      <c r="A42" s="12">
        <v>0</v>
      </c>
    </row>
    <row r="43" spans="1:1" ht="27" x14ac:dyDescent="0.2">
      <c r="A43" s="10" t="s">
        <v>255</v>
      </c>
    </row>
    <row r="44" spans="1:1" x14ac:dyDescent="0.2">
      <c r="A44" s="12">
        <v>0</v>
      </c>
    </row>
    <row r="45" spans="1:1" x14ac:dyDescent="0.2">
      <c r="A45" s="13">
        <v>0</v>
      </c>
    </row>
    <row r="46" spans="1:1" ht="27" x14ac:dyDescent="0.2">
      <c r="A46" s="9" t="s">
        <v>261</v>
      </c>
    </row>
    <row r="47" spans="1:1" ht="27" x14ac:dyDescent="0.2">
      <c r="A47" s="10" t="s">
        <v>94</v>
      </c>
    </row>
    <row r="48" spans="1:1" x14ac:dyDescent="0.2">
      <c r="A48" s="12">
        <v>0</v>
      </c>
    </row>
    <row r="49" spans="1:1" ht="27" x14ac:dyDescent="0.2">
      <c r="A49" s="10" t="s">
        <v>99</v>
      </c>
    </row>
    <row r="50" spans="1:1" ht="40" x14ac:dyDescent="0.2">
      <c r="A50" s="9" t="s">
        <v>587</v>
      </c>
    </row>
    <row r="51" spans="1:1" ht="27" x14ac:dyDescent="0.2">
      <c r="A51" s="10" t="s">
        <v>94</v>
      </c>
    </row>
    <row r="52" spans="1:1" x14ac:dyDescent="0.2">
      <c r="A52" s="9" t="s">
        <v>87</v>
      </c>
    </row>
    <row r="53" spans="1:1" ht="27" x14ac:dyDescent="0.2">
      <c r="A53" s="10" t="s">
        <v>94</v>
      </c>
    </row>
    <row r="54" spans="1:1" x14ac:dyDescent="0.2">
      <c r="A54" s="9" t="s">
        <v>87</v>
      </c>
    </row>
    <row r="55" spans="1:1" x14ac:dyDescent="0.2">
      <c r="A55" s="13">
        <v>0</v>
      </c>
    </row>
    <row r="56" spans="1:1" ht="27" x14ac:dyDescent="0.2">
      <c r="A56" s="9" t="s">
        <v>94</v>
      </c>
    </row>
    <row r="57" spans="1:1" ht="27" x14ac:dyDescent="0.2">
      <c r="A57" s="10" t="s">
        <v>99</v>
      </c>
    </row>
    <row r="58" spans="1:1" ht="27" x14ac:dyDescent="0.2">
      <c r="A58" s="9" t="s">
        <v>99</v>
      </c>
    </row>
    <row r="59" spans="1:1" x14ac:dyDescent="0.2">
      <c r="A59" s="10" t="s">
        <v>87</v>
      </c>
    </row>
    <row r="60" spans="1:1" x14ac:dyDescent="0.2">
      <c r="A60" s="12">
        <v>0</v>
      </c>
    </row>
    <row r="61" spans="1:1" x14ac:dyDescent="0.2">
      <c r="A61" s="10" t="s">
        <v>295</v>
      </c>
    </row>
    <row r="62" spans="1:1" ht="27" x14ac:dyDescent="0.2">
      <c r="A62" s="9" t="s">
        <v>99</v>
      </c>
    </row>
    <row r="63" spans="1:1" ht="27" x14ac:dyDescent="0.2">
      <c r="A63" s="10" t="s">
        <v>99</v>
      </c>
    </row>
    <row r="64" spans="1:1" x14ac:dyDescent="0.2">
      <c r="A64" s="12">
        <v>0</v>
      </c>
    </row>
    <row r="65" spans="1:1" x14ac:dyDescent="0.2">
      <c r="A65" s="10" t="s">
        <v>87</v>
      </c>
    </row>
    <row r="66" spans="1:1" ht="27" x14ac:dyDescent="0.2">
      <c r="A66" s="9" t="s">
        <v>94</v>
      </c>
    </row>
    <row r="67" spans="1:1" x14ac:dyDescent="0.2">
      <c r="A67" s="13">
        <v>0</v>
      </c>
    </row>
    <row r="68" spans="1:1" ht="53" x14ac:dyDescent="0.2">
      <c r="A68" s="9" t="s">
        <v>221</v>
      </c>
    </row>
    <row r="69" spans="1:1" x14ac:dyDescent="0.2">
      <c r="A69" s="13">
        <v>0</v>
      </c>
    </row>
    <row r="70" spans="1:1" ht="27" x14ac:dyDescent="0.2">
      <c r="A70" s="9" t="s">
        <v>94</v>
      </c>
    </row>
    <row r="71" spans="1:1" ht="27" x14ac:dyDescent="0.2">
      <c r="A71" s="10" t="s">
        <v>94</v>
      </c>
    </row>
    <row r="72" spans="1:1" ht="27" x14ac:dyDescent="0.2">
      <c r="A72" s="9" t="s">
        <v>94</v>
      </c>
    </row>
    <row r="73" spans="1:1" ht="66" x14ac:dyDescent="0.2">
      <c r="A73" s="10" t="s">
        <v>212</v>
      </c>
    </row>
    <row r="74" spans="1:1" ht="27" x14ac:dyDescent="0.2">
      <c r="A74" s="9" t="s">
        <v>94</v>
      </c>
    </row>
    <row r="75" spans="1:1" ht="53" x14ac:dyDescent="0.2">
      <c r="A75" s="10" t="s">
        <v>240</v>
      </c>
    </row>
    <row r="76" spans="1:1" x14ac:dyDescent="0.2">
      <c r="A76" s="12">
        <v>0</v>
      </c>
    </row>
    <row r="77" spans="1:1" x14ac:dyDescent="0.2">
      <c r="A77" s="10" t="s">
        <v>87</v>
      </c>
    </row>
    <row r="78" spans="1:1" x14ac:dyDescent="0.2">
      <c r="A78" s="9" t="s">
        <v>87</v>
      </c>
    </row>
    <row r="79" spans="1:1" x14ac:dyDescent="0.2">
      <c r="A79" s="10" t="s">
        <v>152</v>
      </c>
    </row>
    <row r="80" spans="1:1" x14ac:dyDescent="0.2">
      <c r="A80" s="9" t="s">
        <v>338</v>
      </c>
    </row>
    <row r="81" spans="1:1" x14ac:dyDescent="0.2">
      <c r="A81" s="13">
        <v>0</v>
      </c>
    </row>
    <row r="82" spans="1:1" ht="27" x14ac:dyDescent="0.2">
      <c r="A82" s="9" t="s">
        <v>343</v>
      </c>
    </row>
    <row r="83" spans="1:1" ht="27" x14ac:dyDescent="0.2">
      <c r="A83" s="10" t="s">
        <v>94</v>
      </c>
    </row>
    <row r="84" spans="1:1" x14ac:dyDescent="0.2">
      <c r="A84" s="9" t="s">
        <v>87</v>
      </c>
    </row>
    <row r="85" spans="1:1" x14ac:dyDescent="0.2">
      <c r="A85" s="13">
        <v>0</v>
      </c>
    </row>
    <row r="86" spans="1:1" x14ac:dyDescent="0.2">
      <c r="A86" s="12">
        <v>0</v>
      </c>
    </row>
    <row r="87" spans="1:1" ht="27" x14ac:dyDescent="0.2">
      <c r="A87" s="10" t="s">
        <v>99</v>
      </c>
    </row>
    <row r="88" spans="1:1" ht="27" x14ac:dyDescent="0.2">
      <c r="A88" s="9" t="s">
        <v>357</v>
      </c>
    </row>
    <row r="89" spans="1:1" ht="27" x14ac:dyDescent="0.2">
      <c r="A89" s="10" t="s">
        <v>94</v>
      </c>
    </row>
    <row r="90" spans="1:1" ht="27" x14ac:dyDescent="0.2">
      <c r="A90" s="9" t="s">
        <v>94</v>
      </c>
    </row>
    <row r="91" spans="1:1" ht="40" x14ac:dyDescent="0.2">
      <c r="A91" s="10" t="s">
        <v>199</v>
      </c>
    </row>
    <row r="92" spans="1:1" ht="40" x14ac:dyDescent="0.2">
      <c r="A92" s="9" t="s">
        <v>199</v>
      </c>
    </row>
    <row r="93" spans="1:1" x14ac:dyDescent="0.2">
      <c r="A93" s="13">
        <v>0</v>
      </c>
    </row>
    <row r="94" spans="1:1" ht="40" x14ac:dyDescent="0.2">
      <c r="A94" s="9" t="s">
        <v>372</v>
      </c>
    </row>
    <row r="95" spans="1:1" ht="40" x14ac:dyDescent="0.2">
      <c r="A95" s="10" t="s">
        <v>226</v>
      </c>
    </row>
    <row r="96" spans="1:1" ht="40" x14ac:dyDescent="0.2">
      <c r="A96" s="9" t="s">
        <v>372</v>
      </c>
    </row>
    <row r="97" spans="1:1" ht="27" x14ac:dyDescent="0.2">
      <c r="A97" s="10" t="s">
        <v>182</v>
      </c>
    </row>
    <row r="98" spans="1:1" x14ac:dyDescent="0.2">
      <c r="A98" s="9" t="s">
        <v>386</v>
      </c>
    </row>
    <row r="99" spans="1:1" x14ac:dyDescent="0.2">
      <c r="A99" s="13">
        <v>0</v>
      </c>
    </row>
    <row r="100" spans="1:1" ht="40" x14ac:dyDescent="0.2">
      <c r="A100" s="9" t="s">
        <v>114</v>
      </c>
    </row>
    <row r="101" spans="1:1" ht="27" x14ac:dyDescent="0.2">
      <c r="A101" s="10" t="s">
        <v>76</v>
      </c>
    </row>
    <row r="102" spans="1:1" ht="53" x14ac:dyDescent="0.2">
      <c r="A102" s="9" t="s">
        <v>397</v>
      </c>
    </row>
    <row r="103" spans="1:1" x14ac:dyDescent="0.2">
      <c r="A103" s="10" t="s">
        <v>87</v>
      </c>
    </row>
    <row r="104" spans="1:1" ht="53" x14ac:dyDescent="0.2">
      <c r="A104" s="9" t="s">
        <v>402</v>
      </c>
    </row>
    <row r="105" spans="1:1" ht="27" x14ac:dyDescent="0.2">
      <c r="A105" s="10" t="s">
        <v>94</v>
      </c>
    </row>
    <row r="106" spans="1:1" x14ac:dyDescent="0.2">
      <c r="A106" s="12">
        <v>0</v>
      </c>
    </row>
    <row r="107" spans="1:1" x14ac:dyDescent="0.2">
      <c r="A107" s="13">
        <v>0</v>
      </c>
    </row>
    <row r="108" spans="1:1" ht="27" x14ac:dyDescent="0.2">
      <c r="A108" s="9" t="s">
        <v>343</v>
      </c>
    </row>
    <row r="109" spans="1:1" ht="27" x14ac:dyDescent="0.2">
      <c r="A109" s="10" t="s">
        <v>99</v>
      </c>
    </row>
    <row r="110" spans="1:1" x14ac:dyDescent="0.2">
      <c r="A110" s="12">
        <v>0</v>
      </c>
    </row>
    <row r="111" spans="1:1" ht="40" x14ac:dyDescent="0.2">
      <c r="A111" s="10" t="s">
        <v>419</v>
      </c>
    </row>
    <row r="112" spans="1:1" ht="27" x14ac:dyDescent="0.2">
      <c r="A112" s="9" t="s">
        <v>94</v>
      </c>
    </row>
    <row r="113" spans="1:1" x14ac:dyDescent="0.2">
      <c r="A113" s="13">
        <v>0</v>
      </c>
    </row>
    <row r="114" spans="1:1" ht="27" x14ac:dyDescent="0.2">
      <c r="A114" s="9" t="s">
        <v>94</v>
      </c>
    </row>
    <row r="115" spans="1:1" ht="27" x14ac:dyDescent="0.2">
      <c r="A115" s="10" t="s">
        <v>94</v>
      </c>
    </row>
    <row r="116" spans="1:1" x14ac:dyDescent="0.2">
      <c r="A116" s="9" t="s">
        <v>87</v>
      </c>
    </row>
    <row r="117" spans="1:1" ht="27" x14ac:dyDescent="0.2">
      <c r="A117" s="10" t="s">
        <v>76</v>
      </c>
    </row>
    <row r="118" spans="1:1" ht="40" x14ac:dyDescent="0.2">
      <c r="A118" s="9" t="s">
        <v>226</v>
      </c>
    </row>
    <row r="119" spans="1:1" ht="40" x14ac:dyDescent="0.2">
      <c r="A119" s="10" t="s">
        <v>125</v>
      </c>
    </row>
    <row r="120" spans="1:1" x14ac:dyDescent="0.2">
      <c r="A120" s="12">
        <v>0</v>
      </c>
    </row>
    <row r="121" spans="1:1" x14ac:dyDescent="0.2">
      <c r="A121" s="10" t="s">
        <v>87</v>
      </c>
    </row>
    <row r="122" spans="1:1" x14ac:dyDescent="0.2">
      <c r="A122" s="9" t="s">
        <v>429</v>
      </c>
    </row>
    <row r="123" spans="1:1" ht="27" x14ac:dyDescent="0.2">
      <c r="A123" s="10" t="s">
        <v>94</v>
      </c>
    </row>
    <row r="124" spans="1:1" x14ac:dyDescent="0.2">
      <c r="A124" s="9" t="s">
        <v>152</v>
      </c>
    </row>
    <row r="125" spans="1:1" ht="27" x14ac:dyDescent="0.2">
      <c r="A125" s="10" t="s">
        <v>99</v>
      </c>
    </row>
    <row r="126" spans="1:1" x14ac:dyDescent="0.2">
      <c r="A126" s="9" t="s">
        <v>152</v>
      </c>
    </row>
    <row r="127" spans="1:1" x14ac:dyDescent="0.2">
      <c r="A127" s="13">
        <v>0</v>
      </c>
    </row>
    <row r="128" spans="1:1" ht="53" x14ac:dyDescent="0.2">
      <c r="A128" s="9" t="s">
        <v>439</v>
      </c>
    </row>
    <row r="129" spans="1:1" x14ac:dyDescent="0.2">
      <c r="A129" s="13">
        <v>0</v>
      </c>
    </row>
    <row r="130" spans="1:1" ht="27" x14ac:dyDescent="0.2">
      <c r="A130" s="9" t="s">
        <v>99</v>
      </c>
    </row>
    <row r="131" spans="1:1" x14ac:dyDescent="0.2">
      <c r="A131" s="10">
        <v>0</v>
      </c>
    </row>
    <row r="132" spans="1:1" ht="40" x14ac:dyDescent="0.2">
      <c r="A132" s="9" t="s">
        <v>125</v>
      </c>
    </row>
    <row r="133" spans="1:1" x14ac:dyDescent="0.2">
      <c r="A133" s="10" t="s">
        <v>386</v>
      </c>
    </row>
    <row r="134" spans="1:1" x14ac:dyDescent="0.2">
      <c r="A134" s="12">
        <v>0</v>
      </c>
    </row>
    <row r="135" spans="1:1" ht="40" x14ac:dyDescent="0.2">
      <c r="A135" s="10" t="s">
        <v>125</v>
      </c>
    </row>
    <row r="136" spans="1:1" ht="53" x14ac:dyDescent="0.2">
      <c r="A136" s="9" t="s">
        <v>454</v>
      </c>
    </row>
    <row r="137" spans="1:1" ht="53" x14ac:dyDescent="0.2">
      <c r="A137" s="10" t="s">
        <v>439</v>
      </c>
    </row>
    <row r="138" spans="1:1" x14ac:dyDescent="0.2">
      <c r="A138" s="9" t="s">
        <v>152</v>
      </c>
    </row>
    <row r="139" spans="1:1" x14ac:dyDescent="0.2">
      <c r="A139" s="13">
        <v>0</v>
      </c>
    </row>
    <row r="140" spans="1:1" x14ac:dyDescent="0.2">
      <c r="A140" s="12">
        <v>0</v>
      </c>
    </row>
    <row r="141" spans="1:1" x14ac:dyDescent="0.2">
      <c r="A141" s="13">
        <v>0</v>
      </c>
    </row>
    <row r="142" spans="1:1" ht="27" x14ac:dyDescent="0.2">
      <c r="A142" s="9" t="s">
        <v>94</v>
      </c>
    </row>
    <row r="143" spans="1:1" ht="40" x14ac:dyDescent="0.2">
      <c r="A143" s="10" t="s">
        <v>465</v>
      </c>
    </row>
    <row r="144" spans="1:1" ht="27" x14ac:dyDescent="0.2">
      <c r="A144" s="9" t="s">
        <v>94</v>
      </c>
    </row>
    <row r="145" spans="1:1" ht="27" x14ac:dyDescent="0.2">
      <c r="A145" s="10" t="s">
        <v>94</v>
      </c>
    </row>
    <row r="146" spans="1:1" x14ac:dyDescent="0.2">
      <c r="A146" s="9" t="s">
        <v>472</v>
      </c>
    </row>
    <row r="147" spans="1:1" ht="27" x14ac:dyDescent="0.2">
      <c r="A147" s="10" t="s">
        <v>94</v>
      </c>
    </row>
    <row r="148" spans="1:1" x14ac:dyDescent="0.2">
      <c r="A148" s="12">
        <v>0</v>
      </c>
    </row>
    <row r="149" spans="1:1" x14ac:dyDescent="0.2">
      <c r="A149" s="13">
        <v>0</v>
      </c>
    </row>
    <row r="150" spans="1:1" x14ac:dyDescent="0.2">
      <c r="A150" s="12">
        <v>0</v>
      </c>
    </row>
    <row r="151" spans="1:1" ht="27" x14ac:dyDescent="0.2">
      <c r="A151" s="10" t="s">
        <v>119</v>
      </c>
    </row>
    <row r="152" spans="1:1" x14ac:dyDescent="0.2">
      <c r="A152" s="14">
        <v>0</v>
      </c>
    </row>
  </sheetData>
  <autoFilter ref="A1:A152" xr:uid="{818CDCBA-8A70-4DA8-A1D5-D1D04B9DCEC0}"/>
  <pageMargins left="0.70000000000000007" right="0.70000000000000007" top="0.75" bottom="0.75" header="0.30000000000000004" footer="0.3000000000000000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0E4E-F8C9-4D28-934C-0DE99DAD71FC}">
  <dimension ref="A3:B10"/>
  <sheetViews>
    <sheetView topLeftCell="D1" workbookViewId="0">
      <selection activeCell="D1" sqref="D1"/>
    </sheetView>
  </sheetViews>
  <sheetFormatPr baseColWidth="10" defaultColWidth="10.83203125" defaultRowHeight="15" x14ac:dyDescent="0.2"/>
  <cols>
    <col min="1" max="1" width="50.83203125"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40.75" customHeight="1" x14ac:dyDescent="0.2">
      <c r="A4" s="49" t="s">
        <v>43</v>
      </c>
      <c r="B4" t="s">
        <v>485</v>
      </c>
    </row>
    <row r="5" spans="1:2" x14ac:dyDescent="0.2">
      <c r="A5" t="s">
        <v>670</v>
      </c>
      <c r="B5" s="26">
        <v>3.3112582781456956E-2</v>
      </c>
    </row>
    <row r="6" spans="1:2" x14ac:dyDescent="0.2">
      <c r="A6" t="s">
        <v>671</v>
      </c>
      <c r="B6" s="26">
        <v>0.2185430463576159</v>
      </c>
    </row>
    <row r="7" spans="1:2" x14ac:dyDescent="0.2">
      <c r="A7" t="s">
        <v>672</v>
      </c>
      <c r="B7" s="26">
        <v>0.3443708609271523</v>
      </c>
    </row>
    <row r="8" spans="1:2" x14ac:dyDescent="0.2">
      <c r="A8" t="s">
        <v>673</v>
      </c>
      <c r="B8" s="26">
        <v>0.33112582781456956</v>
      </c>
    </row>
    <row r="9" spans="1:2" x14ac:dyDescent="0.2">
      <c r="A9" t="s">
        <v>674</v>
      </c>
      <c r="B9" s="26">
        <v>7.2847682119205295E-2</v>
      </c>
    </row>
    <row r="10" spans="1:2" x14ac:dyDescent="0.2">
      <c r="A10" t="s">
        <v>6</v>
      </c>
      <c r="B10" s="26">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84A7-93D4-9745-8A62-23DA8B8A1858}">
  <dimension ref="A1:G152"/>
  <sheetViews>
    <sheetView workbookViewId="0">
      <selection activeCell="D8" sqref="D8"/>
    </sheetView>
  </sheetViews>
  <sheetFormatPr baseColWidth="10" defaultColWidth="10.83203125" defaultRowHeight="15" x14ac:dyDescent="0.2"/>
  <cols>
    <col min="1" max="1" width="34.5" bestFit="1" customWidth="1"/>
    <col min="3" max="3" width="64.83203125" customWidth="1"/>
    <col min="6" max="6" width="34.33203125" customWidth="1"/>
  </cols>
  <sheetData>
    <row r="1" spans="1:7" ht="53" x14ac:dyDescent="0.2">
      <c r="A1" s="8" t="s">
        <v>43</v>
      </c>
      <c r="C1" s="8" t="s">
        <v>43</v>
      </c>
      <c r="D1" s="43" t="s">
        <v>485</v>
      </c>
      <c r="F1" s="8" t="str">
        <f>$A1</f>
        <v>Comment estimez-vous vos connaissances concernant le syndrome de Lacomme (douleurs ligamentaires lombo-pelviennes de grossesse) ?</v>
      </c>
      <c r="G1" s="43" t="s">
        <v>575</v>
      </c>
    </row>
    <row r="2" spans="1:7" x14ac:dyDescent="0.2">
      <c r="A2" s="9">
        <v>4</v>
      </c>
      <c r="C2" t="s">
        <v>554</v>
      </c>
      <c r="D2">
        <f>COUNTIF(A2:A152,"1")</f>
        <v>5</v>
      </c>
      <c r="F2" t="str">
        <f t="shared" ref="F2" si="0">C2&amp;" "&amp;"(n="&amp;D2&amp;")"</f>
        <v>1 = Aucunes connaissances (n=5)</v>
      </c>
      <c r="G2" s="25">
        <f>D2/SUM(D$2:D$6)</f>
        <v>3.3112582781456956E-2</v>
      </c>
    </row>
    <row r="3" spans="1:7" x14ac:dyDescent="0.2">
      <c r="A3" s="10">
        <v>2</v>
      </c>
      <c r="C3" t="s">
        <v>553</v>
      </c>
      <c r="D3">
        <f>COUNTIF(A2:A152,"2")</f>
        <v>33</v>
      </c>
      <c r="F3" t="str">
        <f t="shared" ref="F3:F5" si="1">C3&amp;" "&amp;"(n="&amp;D3&amp;")"</f>
        <v>2 = Peu de connaissances (n=33)</v>
      </c>
      <c r="G3" s="25">
        <f>D3/SUM(D$2:D$6)</f>
        <v>0.2185430463576159</v>
      </c>
    </row>
    <row r="4" spans="1:7" x14ac:dyDescent="0.2">
      <c r="A4" s="9">
        <v>4</v>
      </c>
      <c r="C4" t="s">
        <v>555</v>
      </c>
      <c r="D4">
        <f>COUNTIF(A2:A152,"3")</f>
        <v>52</v>
      </c>
      <c r="F4" t="str">
        <f t="shared" si="1"/>
        <v>3 = Connaissances générales  (n=52)</v>
      </c>
      <c r="G4" s="25">
        <f>D4/SUM(D$2:D$6)</f>
        <v>0.3443708609271523</v>
      </c>
    </row>
    <row r="5" spans="1:7" x14ac:dyDescent="0.2">
      <c r="A5" s="10">
        <v>2</v>
      </c>
      <c r="C5" t="s">
        <v>552</v>
      </c>
      <c r="D5">
        <f>COUNTIF(A2:A152,"4")</f>
        <v>50</v>
      </c>
      <c r="F5" t="str">
        <f t="shared" si="1"/>
        <v>4 = Bonnes connaissances (n=50)</v>
      </c>
      <c r="G5" s="25">
        <f>D5/SUM(D$2:D$6)</f>
        <v>0.33112582781456956</v>
      </c>
    </row>
    <row r="6" spans="1:7" x14ac:dyDescent="0.2">
      <c r="A6" s="9">
        <v>4</v>
      </c>
      <c r="C6" t="s">
        <v>551</v>
      </c>
      <c r="D6">
        <f>COUNTIF(A2:A152,"5")</f>
        <v>11</v>
      </c>
      <c r="F6" t="str">
        <f t="shared" ref="F6" si="2">C6&amp;" "&amp;"(n="&amp;D6&amp;")"</f>
        <v>5 = Très bonnes connaissances (n=11)</v>
      </c>
      <c r="G6" s="25">
        <f>D6/SUM(D$2:D$6)</f>
        <v>7.2847682119205295E-2</v>
      </c>
    </row>
    <row r="7" spans="1:7" x14ac:dyDescent="0.2">
      <c r="A7" s="10">
        <v>3</v>
      </c>
    </row>
    <row r="8" spans="1:7" x14ac:dyDescent="0.2">
      <c r="A8" s="9">
        <v>2</v>
      </c>
      <c r="D8">
        <f>SUM(D2:D6)</f>
        <v>151</v>
      </c>
      <c r="G8" s="25">
        <f>SUM(G2:G6)</f>
        <v>1</v>
      </c>
    </row>
    <row r="9" spans="1:7" x14ac:dyDescent="0.2">
      <c r="A9" s="10">
        <v>4</v>
      </c>
    </row>
    <row r="10" spans="1:7" x14ac:dyDescent="0.2">
      <c r="A10" s="9">
        <v>4</v>
      </c>
    </row>
    <row r="11" spans="1:7" x14ac:dyDescent="0.2">
      <c r="A11" s="10">
        <v>2</v>
      </c>
    </row>
    <row r="12" spans="1:7" x14ac:dyDescent="0.2">
      <c r="A12" s="9">
        <v>2</v>
      </c>
    </row>
    <row r="13" spans="1:7" x14ac:dyDescent="0.2">
      <c r="A13" s="10">
        <v>2</v>
      </c>
    </row>
    <row r="14" spans="1:7" x14ac:dyDescent="0.2">
      <c r="A14" s="9">
        <v>4</v>
      </c>
    </row>
    <row r="15" spans="1:7" x14ac:dyDescent="0.2">
      <c r="A15" s="10">
        <v>4</v>
      </c>
    </row>
    <row r="16" spans="1:7" x14ac:dyDescent="0.2">
      <c r="A16" s="9">
        <v>5</v>
      </c>
    </row>
    <row r="17" spans="1:1" x14ac:dyDescent="0.2">
      <c r="A17" s="10">
        <v>3</v>
      </c>
    </row>
    <row r="18" spans="1:1" x14ac:dyDescent="0.2">
      <c r="A18" s="9">
        <v>4</v>
      </c>
    </row>
    <row r="19" spans="1:1" x14ac:dyDescent="0.2">
      <c r="A19" s="10">
        <v>5</v>
      </c>
    </row>
    <row r="20" spans="1:1" x14ac:dyDescent="0.2">
      <c r="A20" s="9">
        <v>2</v>
      </c>
    </row>
    <row r="21" spans="1:1" x14ac:dyDescent="0.2">
      <c r="A21" s="10">
        <v>3</v>
      </c>
    </row>
    <row r="22" spans="1:1" x14ac:dyDescent="0.2">
      <c r="A22" s="9">
        <v>4</v>
      </c>
    </row>
    <row r="23" spans="1:1" x14ac:dyDescent="0.2">
      <c r="A23" s="10">
        <v>3</v>
      </c>
    </row>
    <row r="24" spans="1:1" x14ac:dyDescent="0.2">
      <c r="A24" s="9">
        <v>5</v>
      </c>
    </row>
    <row r="25" spans="1:1" x14ac:dyDescent="0.2">
      <c r="A25" s="10">
        <v>3</v>
      </c>
    </row>
    <row r="26" spans="1:1" x14ac:dyDescent="0.2">
      <c r="A26" s="9">
        <v>2</v>
      </c>
    </row>
    <row r="27" spans="1:1" x14ac:dyDescent="0.2">
      <c r="A27" s="10">
        <v>5</v>
      </c>
    </row>
    <row r="28" spans="1:1" x14ac:dyDescent="0.2">
      <c r="A28" s="9">
        <v>3</v>
      </c>
    </row>
    <row r="29" spans="1:1" x14ac:dyDescent="0.2">
      <c r="A29" s="10">
        <v>3</v>
      </c>
    </row>
    <row r="30" spans="1:1" x14ac:dyDescent="0.2">
      <c r="A30" s="9">
        <v>3</v>
      </c>
    </row>
    <row r="31" spans="1:1" x14ac:dyDescent="0.2">
      <c r="A31" s="10">
        <v>3</v>
      </c>
    </row>
    <row r="32" spans="1:1" x14ac:dyDescent="0.2">
      <c r="A32" s="9">
        <v>4</v>
      </c>
    </row>
    <row r="33" spans="1:1" x14ac:dyDescent="0.2">
      <c r="A33" s="10">
        <v>4</v>
      </c>
    </row>
    <row r="34" spans="1:1" x14ac:dyDescent="0.2">
      <c r="A34" s="9">
        <v>4</v>
      </c>
    </row>
    <row r="35" spans="1:1" x14ac:dyDescent="0.2">
      <c r="A35" s="10">
        <v>3</v>
      </c>
    </row>
    <row r="36" spans="1:1" x14ac:dyDescent="0.2">
      <c r="A36" s="9">
        <v>4</v>
      </c>
    </row>
    <row r="37" spans="1:1" x14ac:dyDescent="0.2">
      <c r="A37" s="10">
        <v>3</v>
      </c>
    </row>
    <row r="38" spans="1:1" x14ac:dyDescent="0.2">
      <c r="A38" s="9">
        <v>3</v>
      </c>
    </row>
    <row r="39" spans="1:1" x14ac:dyDescent="0.2">
      <c r="A39" s="10">
        <v>3</v>
      </c>
    </row>
    <row r="40" spans="1:1" x14ac:dyDescent="0.2">
      <c r="A40" s="9">
        <v>3</v>
      </c>
    </row>
    <row r="41" spans="1:1" x14ac:dyDescent="0.2">
      <c r="A41" s="10">
        <v>4</v>
      </c>
    </row>
    <row r="42" spans="1:1" x14ac:dyDescent="0.2">
      <c r="A42" s="9">
        <v>4</v>
      </c>
    </row>
    <row r="43" spans="1:1" x14ac:dyDescent="0.2">
      <c r="A43" s="10">
        <v>2</v>
      </c>
    </row>
    <row r="44" spans="1:1" x14ac:dyDescent="0.2">
      <c r="A44" s="9">
        <v>5</v>
      </c>
    </row>
    <row r="45" spans="1:1" x14ac:dyDescent="0.2">
      <c r="A45" s="10">
        <v>2</v>
      </c>
    </row>
    <row r="46" spans="1:1" x14ac:dyDescent="0.2">
      <c r="A46" s="9">
        <v>5</v>
      </c>
    </row>
    <row r="47" spans="1:1" x14ac:dyDescent="0.2">
      <c r="A47" s="10">
        <v>4</v>
      </c>
    </row>
    <row r="48" spans="1:1" x14ac:dyDescent="0.2">
      <c r="A48" s="9">
        <v>3</v>
      </c>
    </row>
    <row r="49" spans="1:1" x14ac:dyDescent="0.2">
      <c r="A49" s="10">
        <v>3</v>
      </c>
    </row>
    <row r="50" spans="1:1" x14ac:dyDescent="0.2">
      <c r="A50" s="9">
        <v>5</v>
      </c>
    </row>
    <row r="51" spans="1:1" x14ac:dyDescent="0.2">
      <c r="A51" s="10">
        <v>2</v>
      </c>
    </row>
    <row r="52" spans="1:1" x14ac:dyDescent="0.2">
      <c r="A52" s="9">
        <v>4</v>
      </c>
    </row>
    <row r="53" spans="1:1" x14ac:dyDescent="0.2">
      <c r="A53" s="10">
        <v>3</v>
      </c>
    </row>
    <row r="54" spans="1:1" x14ac:dyDescent="0.2">
      <c r="A54" s="9">
        <v>3</v>
      </c>
    </row>
    <row r="55" spans="1:1" x14ac:dyDescent="0.2">
      <c r="A55" s="10">
        <v>4</v>
      </c>
    </row>
    <row r="56" spans="1:1" x14ac:dyDescent="0.2">
      <c r="A56" s="9">
        <v>4</v>
      </c>
    </row>
    <row r="57" spans="1:1" x14ac:dyDescent="0.2">
      <c r="A57" s="10">
        <v>3</v>
      </c>
    </row>
    <row r="58" spans="1:1" x14ac:dyDescent="0.2">
      <c r="A58" s="9">
        <v>4</v>
      </c>
    </row>
    <row r="59" spans="1:1" x14ac:dyDescent="0.2">
      <c r="A59" s="10">
        <v>3</v>
      </c>
    </row>
    <row r="60" spans="1:1" x14ac:dyDescent="0.2">
      <c r="A60" s="9">
        <v>3</v>
      </c>
    </row>
    <row r="61" spans="1:1" x14ac:dyDescent="0.2">
      <c r="A61" s="10">
        <v>4</v>
      </c>
    </row>
    <row r="62" spans="1:1" x14ac:dyDescent="0.2">
      <c r="A62" s="9">
        <v>4</v>
      </c>
    </row>
    <row r="63" spans="1:1" x14ac:dyDescent="0.2">
      <c r="A63" s="10">
        <v>3</v>
      </c>
    </row>
    <row r="64" spans="1:1" x14ac:dyDescent="0.2">
      <c r="A64" s="9">
        <v>2</v>
      </c>
    </row>
    <row r="65" spans="1:1" x14ac:dyDescent="0.2">
      <c r="A65" s="10">
        <v>2</v>
      </c>
    </row>
    <row r="66" spans="1:1" x14ac:dyDescent="0.2">
      <c r="A66" s="9">
        <v>3</v>
      </c>
    </row>
    <row r="67" spans="1:1" x14ac:dyDescent="0.2">
      <c r="A67" s="10">
        <v>3</v>
      </c>
    </row>
    <row r="68" spans="1:1" x14ac:dyDescent="0.2">
      <c r="A68" s="9">
        <v>3</v>
      </c>
    </row>
    <row r="69" spans="1:1" x14ac:dyDescent="0.2">
      <c r="A69" s="10">
        <v>3</v>
      </c>
    </row>
    <row r="70" spans="1:1" x14ac:dyDescent="0.2">
      <c r="A70" s="9">
        <v>2</v>
      </c>
    </row>
    <row r="71" spans="1:1" x14ac:dyDescent="0.2">
      <c r="A71" s="10">
        <v>1</v>
      </c>
    </row>
    <row r="72" spans="1:1" x14ac:dyDescent="0.2">
      <c r="A72" s="9">
        <v>1</v>
      </c>
    </row>
    <row r="73" spans="1:1" x14ac:dyDescent="0.2">
      <c r="A73" s="10">
        <v>2</v>
      </c>
    </row>
    <row r="74" spans="1:1" x14ac:dyDescent="0.2">
      <c r="A74" s="9">
        <v>4</v>
      </c>
    </row>
    <row r="75" spans="1:1" x14ac:dyDescent="0.2">
      <c r="A75" s="10">
        <v>4</v>
      </c>
    </row>
    <row r="76" spans="1:1" x14ac:dyDescent="0.2">
      <c r="A76" s="9">
        <v>3</v>
      </c>
    </row>
    <row r="77" spans="1:1" x14ac:dyDescent="0.2">
      <c r="A77" s="10">
        <v>2</v>
      </c>
    </row>
    <row r="78" spans="1:1" x14ac:dyDescent="0.2">
      <c r="A78" s="9">
        <v>1</v>
      </c>
    </row>
    <row r="79" spans="1:1" x14ac:dyDescent="0.2">
      <c r="A79" s="10">
        <v>2</v>
      </c>
    </row>
    <row r="80" spans="1:1" x14ac:dyDescent="0.2">
      <c r="A80" s="9">
        <v>2</v>
      </c>
    </row>
    <row r="81" spans="1:1" x14ac:dyDescent="0.2">
      <c r="A81" s="10">
        <v>4</v>
      </c>
    </row>
    <row r="82" spans="1:1" x14ac:dyDescent="0.2">
      <c r="A82" s="9">
        <v>3</v>
      </c>
    </row>
    <row r="83" spans="1:1" x14ac:dyDescent="0.2">
      <c r="A83" s="10">
        <v>3</v>
      </c>
    </row>
    <row r="84" spans="1:1" x14ac:dyDescent="0.2">
      <c r="A84" s="9">
        <v>2</v>
      </c>
    </row>
    <row r="85" spans="1:1" x14ac:dyDescent="0.2">
      <c r="A85" s="10">
        <v>3</v>
      </c>
    </row>
    <row r="86" spans="1:1" x14ac:dyDescent="0.2">
      <c r="A86" s="9">
        <v>2</v>
      </c>
    </row>
    <row r="87" spans="1:1" x14ac:dyDescent="0.2">
      <c r="A87" s="10">
        <v>3</v>
      </c>
    </row>
    <row r="88" spans="1:1" x14ac:dyDescent="0.2">
      <c r="A88" s="9">
        <v>1</v>
      </c>
    </row>
    <row r="89" spans="1:1" x14ac:dyDescent="0.2">
      <c r="A89" s="10">
        <v>4</v>
      </c>
    </row>
    <row r="90" spans="1:1" x14ac:dyDescent="0.2">
      <c r="A90" s="9">
        <v>3</v>
      </c>
    </row>
    <row r="91" spans="1:1" x14ac:dyDescent="0.2">
      <c r="A91" s="10">
        <v>3</v>
      </c>
    </row>
    <row r="92" spans="1:1" x14ac:dyDescent="0.2">
      <c r="A92" s="9">
        <v>4</v>
      </c>
    </row>
    <row r="93" spans="1:1" x14ac:dyDescent="0.2">
      <c r="A93" s="10">
        <v>4</v>
      </c>
    </row>
    <row r="94" spans="1:1" x14ac:dyDescent="0.2">
      <c r="A94" s="9">
        <v>4</v>
      </c>
    </row>
    <row r="95" spans="1:1" x14ac:dyDescent="0.2">
      <c r="A95" s="10">
        <v>3</v>
      </c>
    </row>
    <row r="96" spans="1:1" x14ac:dyDescent="0.2">
      <c r="A96" s="9">
        <v>4</v>
      </c>
    </row>
    <row r="97" spans="1:1" x14ac:dyDescent="0.2">
      <c r="A97" s="10">
        <v>4</v>
      </c>
    </row>
    <row r="98" spans="1:1" x14ac:dyDescent="0.2">
      <c r="A98" s="9">
        <v>2</v>
      </c>
    </row>
    <row r="99" spans="1:1" x14ac:dyDescent="0.2">
      <c r="A99" s="10">
        <v>3</v>
      </c>
    </row>
    <row r="100" spans="1:1" x14ac:dyDescent="0.2">
      <c r="A100" s="9">
        <v>3</v>
      </c>
    </row>
    <row r="101" spans="1:1" x14ac:dyDescent="0.2">
      <c r="A101" s="10">
        <v>3</v>
      </c>
    </row>
    <row r="102" spans="1:1" x14ac:dyDescent="0.2">
      <c r="A102" s="9">
        <v>4</v>
      </c>
    </row>
    <row r="103" spans="1:1" x14ac:dyDescent="0.2">
      <c r="A103" s="10">
        <v>4</v>
      </c>
    </row>
    <row r="104" spans="1:1" x14ac:dyDescent="0.2">
      <c r="A104" s="9">
        <v>3</v>
      </c>
    </row>
    <row r="105" spans="1:1" x14ac:dyDescent="0.2">
      <c r="A105" s="10">
        <v>3</v>
      </c>
    </row>
    <row r="106" spans="1:1" x14ac:dyDescent="0.2">
      <c r="A106" s="9">
        <v>3</v>
      </c>
    </row>
    <row r="107" spans="1:1" x14ac:dyDescent="0.2">
      <c r="A107" s="10">
        <v>5</v>
      </c>
    </row>
    <row r="108" spans="1:1" x14ac:dyDescent="0.2">
      <c r="A108" s="9">
        <v>3</v>
      </c>
    </row>
    <row r="109" spans="1:1" x14ac:dyDescent="0.2">
      <c r="A109" s="10">
        <v>3</v>
      </c>
    </row>
    <row r="110" spans="1:1" x14ac:dyDescent="0.2">
      <c r="A110" s="9">
        <v>2</v>
      </c>
    </row>
    <row r="111" spans="1:1" x14ac:dyDescent="0.2">
      <c r="A111" s="10">
        <v>4</v>
      </c>
    </row>
    <row r="112" spans="1:1" x14ac:dyDescent="0.2">
      <c r="A112" s="9">
        <v>5</v>
      </c>
    </row>
    <row r="113" spans="1:1" x14ac:dyDescent="0.2">
      <c r="A113" s="10">
        <v>3</v>
      </c>
    </row>
    <row r="114" spans="1:1" x14ac:dyDescent="0.2">
      <c r="A114" s="9">
        <v>2</v>
      </c>
    </row>
    <row r="115" spans="1:1" x14ac:dyDescent="0.2">
      <c r="A115" s="10">
        <v>2</v>
      </c>
    </row>
    <row r="116" spans="1:1" x14ac:dyDescent="0.2">
      <c r="A116" s="9">
        <v>4</v>
      </c>
    </row>
    <row r="117" spans="1:1" x14ac:dyDescent="0.2">
      <c r="A117" s="10">
        <v>4</v>
      </c>
    </row>
    <row r="118" spans="1:1" x14ac:dyDescent="0.2">
      <c r="A118" s="9">
        <v>2</v>
      </c>
    </row>
    <row r="119" spans="1:1" x14ac:dyDescent="0.2">
      <c r="A119" s="10">
        <v>4</v>
      </c>
    </row>
    <row r="120" spans="1:1" x14ac:dyDescent="0.2">
      <c r="A120" s="9">
        <v>3</v>
      </c>
    </row>
    <row r="121" spans="1:1" x14ac:dyDescent="0.2">
      <c r="A121" s="10">
        <v>4</v>
      </c>
    </row>
    <row r="122" spans="1:1" x14ac:dyDescent="0.2">
      <c r="A122" s="9">
        <v>2</v>
      </c>
    </row>
    <row r="123" spans="1:1" x14ac:dyDescent="0.2">
      <c r="A123" s="10">
        <v>4</v>
      </c>
    </row>
    <row r="124" spans="1:1" x14ac:dyDescent="0.2">
      <c r="A124" s="9">
        <v>4</v>
      </c>
    </row>
    <row r="125" spans="1:1" x14ac:dyDescent="0.2">
      <c r="A125" s="10">
        <v>2</v>
      </c>
    </row>
    <row r="126" spans="1:1" x14ac:dyDescent="0.2">
      <c r="A126" s="9">
        <v>3</v>
      </c>
    </row>
    <row r="127" spans="1:1" x14ac:dyDescent="0.2">
      <c r="A127" s="10">
        <v>2</v>
      </c>
    </row>
    <row r="128" spans="1:1" x14ac:dyDescent="0.2">
      <c r="A128" s="9">
        <v>4</v>
      </c>
    </row>
    <row r="129" spans="1:1" x14ac:dyDescent="0.2">
      <c r="A129" s="10">
        <v>5</v>
      </c>
    </row>
    <row r="130" spans="1:1" x14ac:dyDescent="0.2">
      <c r="A130" s="9">
        <v>3</v>
      </c>
    </row>
    <row r="131" spans="1:1" x14ac:dyDescent="0.2">
      <c r="A131" s="10">
        <v>4</v>
      </c>
    </row>
    <row r="132" spans="1:1" x14ac:dyDescent="0.2">
      <c r="A132" s="9">
        <v>3</v>
      </c>
    </row>
    <row r="133" spans="1:1" x14ac:dyDescent="0.2">
      <c r="A133" s="10">
        <v>4</v>
      </c>
    </row>
    <row r="134" spans="1:1" x14ac:dyDescent="0.2">
      <c r="A134" s="9">
        <v>2</v>
      </c>
    </row>
    <row r="135" spans="1:1" x14ac:dyDescent="0.2">
      <c r="A135" s="10">
        <v>4</v>
      </c>
    </row>
    <row r="136" spans="1:1" x14ac:dyDescent="0.2">
      <c r="A136" s="9">
        <v>4</v>
      </c>
    </row>
    <row r="137" spans="1:1" x14ac:dyDescent="0.2">
      <c r="A137" s="10">
        <v>1</v>
      </c>
    </row>
    <row r="138" spans="1:1" x14ac:dyDescent="0.2">
      <c r="A138" s="9">
        <v>4</v>
      </c>
    </row>
    <row r="139" spans="1:1" x14ac:dyDescent="0.2">
      <c r="A139" s="10">
        <v>2</v>
      </c>
    </row>
    <row r="140" spans="1:1" x14ac:dyDescent="0.2">
      <c r="A140" s="9">
        <v>3</v>
      </c>
    </row>
    <row r="141" spans="1:1" x14ac:dyDescent="0.2">
      <c r="A141" s="10">
        <v>2</v>
      </c>
    </row>
    <row r="142" spans="1:1" x14ac:dyDescent="0.2">
      <c r="A142" s="9">
        <v>4</v>
      </c>
    </row>
    <row r="143" spans="1:1" x14ac:dyDescent="0.2">
      <c r="A143" s="10">
        <v>5</v>
      </c>
    </row>
    <row r="144" spans="1:1" x14ac:dyDescent="0.2">
      <c r="A144" s="9">
        <v>3</v>
      </c>
    </row>
    <row r="145" spans="1:1" x14ac:dyDescent="0.2">
      <c r="A145" s="10">
        <v>3</v>
      </c>
    </row>
    <row r="146" spans="1:1" x14ac:dyDescent="0.2">
      <c r="A146" s="9">
        <v>4</v>
      </c>
    </row>
    <row r="147" spans="1:1" x14ac:dyDescent="0.2">
      <c r="A147" s="10">
        <v>3</v>
      </c>
    </row>
    <row r="148" spans="1:1" x14ac:dyDescent="0.2">
      <c r="A148" s="9">
        <v>4</v>
      </c>
    </row>
    <row r="149" spans="1:1" x14ac:dyDescent="0.2">
      <c r="A149" s="10">
        <v>2</v>
      </c>
    </row>
    <row r="150" spans="1:1" x14ac:dyDescent="0.2">
      <c r="A150" s="9">
        <v>2</v>
      </c>
    </row>
    <row r="151" spans="1:1" x14ac:dyDescent="0.2">
      <c r="A151" s="10">
        <v>3</v>
      </c>
    </row>
    <row r="152" spans="1:1" x14ac:dyDescent="0.2">
      <c r="A152" s="11">
        <v>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2098-CAA8-4787-9D1A-168F36885344}">
  <dimension ref="A3:B10"/>
  <sheetViews>
    <sheetView topLeftCell="A9" workbookViewId="0">
      <selection activeCell="A16" sqref="A16"/>
    </sheetView>
  </sheetViews>
  <sheetFormatPr baseColWidth="10" defaultColWidth="10.83203125" defaultRowHeight="15" x14ac:dyDescent="0.2"/>
  <cols>
    <col min="1" max="1" width="74.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44</v>
      </c>
      <c r="B4" t="s">
        <v>485</v>
      </c>
    </row>
    <row r="5" spans="1:2" x14ac:dyDescent="0.2">
      <c r="A5" t="s">
        <v>675</v>
      </c>
      <c r="B5" s="26">
        <v>5.8823529411764705E-3</v>
      </c>
    </row>
    <row r="6" spans="1:2" x14ac:dyDescent="0.2">
      <c r="A6" t="s">
        <v>676</v>
      </c>
      <c r="B6" s="26">
        <v>2.9411764705882353E-3</v>
      </c>
    </row>
    <row r="7" spans="1:2" x14ac:dyDescent="0.2">
      <c r="A7" t="s">
        <v>677</v>
      </c>
      <c r="B7" s="26">
        <v>0.30882352941176472</v>
      </c>
    </row>
    <row r="8" spans="1:2" x14ac:dyDescent="0.2">
      <c r="A8" t="s">
        <v>678</v>
      </c>
      <c r="B8" s="26">
        <v>0.26176470588235295</v>
      </c>
    </row>
    <row r="9" spans="1:2" x14ac:dyDescent="0.2">
      <c r="A9" t="s">
        <v>679</v>
      </c>
      <c r="B9" s="26">
        <v>0.42058823529411765</v>
      </c>
    </row>
    <row r="10" spans="1:2" x14ac:dyDescent="0.2">
      <c r="A10" t="s">
        <v>6</v>
      </c>
      <c r="B10" s="26">
        <v>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DA15-B082-494B-9571-4B64128A9F7D}">
  <dimension ref="A1:G152"/>
  <sheetViews>
    <sheetView topLeftCell="B1" zoomScale="90" zoomScaleNormal="90" workbookViewId="0">
      <selection activeCell="F1" sqref="F1:G2"/>
    </sheetView>
  </sheetViews>
  <sheetFormatPr baseColWidth="10" defaultColWidth="11.83203125" defaultRowHeight="15" x14ac:dyDescent="0.2"/>
  <cols>
    <col min="1" max="1" width="73.5" customWidth="1"/>
    <col min="2" max="2" width="11.83203125" customWidth="1"/>
    <col min="3" max="3" width="50.83203125" customWidth="1"/>
    <col min="4" max="4" width="15.1640625" customWidth="1"/>
    <col min="5" max="5" width="11.83203125" customWidth="1"/>
    <col min="6" max="6" width="36.33203125" customWidth="1"/>
  </cols>
  <sheetData>
    <row r="1" spans="1:7" s="41" customFormat="1" ht="26" x14ac:dyDescent="0.2">
      <c r="A1" s="44" t="s">
        <v>44</v>
      </c>
      <c r="C1" s="44" t="s">
        <v>44</v>
      </c>
      <c r="D1" s="41" t="s">
        <v>485</v>
      </c>
      <c r="F1" s="44" t="str">
        <f>$A1</f>
        <v>Comment identifiez-vous ce syndrome dans votre pratique ?</v>
      </c>
      <c r="G1" s="41" t="s">
        <v>575</v>
      </c>
    </row>
    <row r="2" spans="1:7" s="41" customFormat="1" ht="16" x14ac:dyDescent="0.2">
      <c r="A2" s="45" t="s">
        <v>62</v>
      </c>
      <c r="C2" s="41" t="s">
        <v>532</v>
      </c>
      <c r="D2" s="41">
        <f>COUNTIF($A$2:$A$152,"*Interrogatoire*")</f>
        <v>143</v>
      </c>
      <c r="F2" s="41" t="str">
        <f t="shared" ref="F2" si="0">C2&amp;" "&amp;"(n="&amp;D2&amp;")"</f>
        <v>Interrogatoire  (n=143)</v>
      </c>
      <c r="G2" s="48">
        <f>D2/SUM(D$2:D$6)</f>
        <v>0.42058823529411765</v>
      </c>
    </row>
    <row r="3" spans="1:7" s="41" customFormat="1" ht="16" x14ac:dyDescent="0.2">
      <c r="A3" s="46" t="s">
        <v>62</v>
      </c>
      <c r="C3" s="41" t="s">
        <v>531</v>
      </c>
      <c r="D3" s="41">
        <f>COUNTIF($A$2:$A$152,"*Examen clinique*")</f>
        <v>89</v>
      </c>
      <c r="F3" s="41" t="str">
        <f t="shared" ref="F3:F6" si="1">C3&amp;" "&amp;"(n="&amp;D3&amp;")"</f>
        <v>Examen clinique  (n=89)</v>
      </c>
      <c r="G3" s="48">
        <f>D3/SUM(D$2:D$6)</f>
        <v>0.26176470588235295</v>
      </c>
    </row>
    <row r="4" spans="1:7" s="41" customFormat="1" ht="26" x14ac:dyDescent="0.2">
      <c r="A4" s="45" t="s">
        <v>81</v>
      </c>
      <c r="C4" s="41" t="s">
        <v>529</v>
      </c>
      <c r="D4" s="41">
        <f>COUNTIF($A$2:$A$152,"*Recours aux examens complémentaires*")</f>
        <v>2</v>
      </c>
      <c r="F4" s="41" t="str">
        <f t="shared" si="1"/>
        <v xml:space="preserve"> Recours aux examens complémentaires (n=2)</v>
      </c>
      <c r="G4" s="48">
        <f>D4/SUM(D$2:D$6)</f>
        <v>5.8823529411764705E-3</v>
      </c>
    </row>
    <row r="5" spans="1:7" s="41" customFormat="1" ht="48" x14ac:dyDescent="0.2">
      <c r="A5" s="46" t="s">
        <v>88</v>
      </c>
      <c r="C5" s="41" t="s">
        <v>167</v>
      </c>
      <c r="D5" s="41">
        <f>COUNTIF($A$2:$A$152,"*En excluant d’autres causes possibles de douleurs pelviennes pendant la grossesse*")</f>
        <v>105</v>
      </c>
      <c r="F5" s="41" t="str">
        <f t="shared" si="1"/>
        <v>En excluant d’autres causes possibles de douleurs pelviennes pendant la grossesse (n=105)</v>
      </c>
      <c r="G5" s="48">
        <f>D5/SUM(D$2:D$6)</f>
        <v>0.30882352941176472</v>
      </c>
    </row>
    <row r="6" spans="1:7" s="41" customFormat="1" ht="26" x14ac:dyDescent="0.2">
      <c r="A6" s="45" t="s">
        <v>81</v>
      </c>
      <c r="C6" s="41" t="s">
        <v>530</v>
      </c>
      <c r="D6" s="41">
        <f>COUNTIF($A$2:$A$152,"*Démarche de la patiente*")</f>
        <v>1</v>
      </c>
      <c r="F6" s="41" t="str">
        <f t="shared" si="1"/>
        <v>Démarche de la patiente  (n=1)</v>
      </c>
      <c r="G6" s="48">
        <f>D6/SUM(D$2:D$6)</f>
        <v>2.9411764705882353E-3</v>
      </c>
    </row>
    <row r="7" spans="1:7" s="41" customFormat="1" ht="26" x14ac:dyDescent="0.2">
      <c r="A7" s="46" t="s">
        <v>81</v>
      </c>
    </row>
    <row r="8" spans="1:7" s="41" customFormat="1" ht="26" x14ac:dyDescent="0.2">
      <c r="A8" s="45" t="s">
        <v>103</v>
      </c>
      <c r="D8" s="41">
        <f>SUM(D2:D6)</f>
        <v>340</v>
      </c>
      <c r="G8" s="48">
        <f>SUM(G2:G6)</f>
        <v>1</v>
      </c>
    </row>
    <row r="9" spans="1:7" s="41" customFormat="1" ht="26" x14ac:dyDescent="0.2">
      <c r="A9" s="46" t="s">
        <v>81</v>
      </c>
    </row>
    <row r="10" spans="1:7" s="41" customFormat="1" ht="26" x14ac:dyDescent="0.2">
      <c r="A10" s="45" t="s">
        <v>81</v>
      </c>
    </row>
    <row r="11" spans="1:7" s="41" customFormat="1" ht="26" x14ac:dyDescent="0.2">
      <c r="A11" s="46" t="s">
        <v>103</v>
      </c>
    </row>
    <row r="12" spans="1:7" s="41" customFormat="1" ht="26" x14ac:dyDescent="0.2">
      <c r="A12" s="45" t="s">
        <v>81</v>
      </c>
    </row>
    <row r="13" spans="1:7" s="41" customFormat="1" ht="26" x14ac:dyDescent="0.2">
      <c r="A13" s="46" t="s">
        <v>81</v>
      </c>
    </row>
    <row r="14" spans="1:7" s="41" customFormat="1" ht="26" x14ac:dyDescent="0.2">
      <c r="A14" s="45" t="s">
        <v>103</v>
      </c>
    </row>
    <row r="15" spans="1:7" s="41" customFormat="1" x14ac:dyDescent="0.2">
      <c r="A15" s="46" t="s">
        <v>88</v>
      </c>
    </row>
    <row r="16" spans="1:7" s="41" customFormat="1" x14ac:dyDescent="0.2">
      <c r="A16" s="45" t="s">
        <v>88</v>
      </c>
    </row>
    <row r="17" spans="1:1" s="41" customFormat="1" x14ac:dyDescent="0.2">
      <c r="A17" s="46" t="s">
        <v>88</v>
      </c>
    </row>
    <row r="18" spans="1:1" s="41" customFormat="1" ht="26" x14ac:dyDescent="0.2">
      <c r="A18" s="45" t="s">
        <v>81</v>
      </c>
    </row>
    <row r="19" spans="1:1" s="41" customFormat="1" x14ac:dyDescent="0.2">
      <c r="A19" s="46" t="s">
        <v>88</v>
      </c>
    </row>
    <row r="20" spans="1:1" s="41" customFormat="1" x14ac:dyDescent="0.2">
      <c r="A20" s="45" t="s">
        <v>167</v>
      </c>
    </row>
    <row r="21" spans="1:1" s="41" customFormat="1" x14ac:dyDescent="0.2">
      <c r="A21" s="46" t="s">
        <v>88</v>
      </c>
    </row>
    <row r="22" spans="1:1" s="41" customFormat="1" ht="26" x14ac:dyDescent="0.2">
      <c r="A22" s="45" t="s">
        <v>81</v>
      </c>
    </row>
    <row r="23" spans="1:1" s="41" customFormat="1" ht="26" x14ac:dyDescent="0.2">
      <c r="A23" s="46" t="s">
        <v>81</v>
      </c>
    </row>
    <row r="24" spans="1:1" s="41" customFormat="1" ht="26" x14ac:dyDescent="0.2">
      <c r="A24" s="45" t="s">
        <v>81</v>
      </c>
    </row>
    <row r="25" spans="1:1" s="41" customFormat="1" ht="26" x14ac:dyDescent="0.2">
      <c r="A25" s="46" t="s">
        <v>81</v>
      </c>
    </row>
    <row r="26" spans="1:1" s="41" customFormat="1" x14ac:dyDescent="0.2">
      <c r="A26" s="45" t="s">
        <v>167</v>
      </c>
    </row>
    <row r="27" spans="1:1" s="41" customFormat="1" ht="26" x14ac:dyDescent="0.2">
      <c r="A27" s="46" t="s">
        <v>81</v>
      </c>
    </row>
    <row r="28" spans="1:1" s="41" customFormat="1" ht="26" x14ac:dyDescent="0.2">
      <c r="A28" s="45" t="s">
        <v>81</v>
      </c>
    </row>
    <row r="29" spans="1:1" s="41" customFormat="1" ht="26" x14ac:dyDescent="0.2">
      <c r="A29" s="46" t="s">
        <v>81</v>
      </c>
    </row>
    <row r="30" spans="1:1" s="41" customFormat="1" ht="26" x14ac:dyDescent="0.2">
      <c r="A30" s="45" t="s">
        <v>81</v>
      </c>
    </row>
    <row r="31" spans="1:1" s="41" customFormat="1" ht="26" x14ac:dyDescent="0.2">
      <c r="A31" s="46" t="s">
        <v>81</v>
      </c>
    </row>
    <row r="32" spans="1:1" s="41" customFormat="1" ht="26" x14ac:dyDescent="0.2">
      <c r="A32" s="45" t="s">
        <v>103</v>
      </c>
    </row>
    <row r="33" spans="1:1" s="41" customFormat="1" ht="26" x14ac:dyDescent="0.2">
      <c r="A33" s="46" t="s">
        <v>81</v>
      </c>
    </row>
    <row r="34" spans="1:1" s="41" customFormat="1" ht="26" x14ac:dyDescent="0.2">
      <c r="A34" s="45" t="s">
        <v>103</v>
      </c>
    </row>
    <row r="35" spans="1:1" s="41" customFormat="1" x14ac:dyDescent="0.2">
      <c r="A35" s="46" t="s">
        <v>88</v>
      </c>
    </row>
    <row r="36" spans="1:1" s="41" customFormat="1" ht="26" x14ac:dyDescent="0.2">
      <c r="A36" s="45" t="s">
        <v>81</v>
      </c>
    </row>
    <row r="37" spans="1:1" s="41" customFormat="1" ht="26" x14ac:dyDescent="0.2">
      <c r="A37" s="46" t="s">
        <v>81</v>
      </c>
    </row>
    <row r="38" spans="1:1" s="41" customFormat="1" ht="26" x14ac:dyDescent="0.2">
      <c r="A38" s="45" t="s">
        <v>81</v>
      </c>
    </row>
    <row r="39" spans="1:1" s="41" customFormat="1" ht="26" x14ac:dyDescent="0.2">
      <c r="A39" s="46" t="s">
        <v>103</v>
      </c>
    </row>
    <row r="40" spans="1:1" s="41" customFormat="1" x14ac:dyDescent="0.2">
      <c r="A40" s="45" t="s">
        <v>62</v>
      </c>
    </row>
    <row r="41" spans="1:1" s="41" customFormat="1" ht="26" x14ac:dyDescent="0.2">
      <c r="A41" s="46" t="s">
        <v>81</v>
      </c>
    </row>
    <row r="42" spans="1:1" s="41" customFormat="1" x14ac:dyDescent="0.2">
      <c r="A42" s="45" t="s">
        <v>62</v>
      </c>
    </row>
    <row r="43" spans="1:1" s="41" customFormat="1" x14ac:dyDescent="0.2">
      <c r="A43" s="46" t="s">
        <v>88</v>
      </c>
    </row>
    <row r="44" spans="1:1" s="41" customFormat="1" ht="26" x14ac:dyDescent="0.2">
      <c r="A44" s="45" t="s">
        <v>81</v>
      </c>
    </row>
    <row r="45" spans="1:1" s="41" customFormat="1" x14ac:dyDescent="0.2">
      <c r="A45" s="46" t="s">
        <v>88</v>
      </c>
    </row>
    <row r="46" spans="1:1" s="41" customFormat="1" x14ac:dyDescent="0.2">
      <c r="A46" s="45" t="s">
        <v>88</v>
      </c>
    </row>
    <row r="47" spans="1:1" s="41" customFormat="1" ht="26" x14ac:dyDescent="0.2">
      <c r="A47" s="46" t="s">
        <v>103</v>
      </c>
    </row>
    <row r="48" spans="1:1" s="41" customFormat="1" ht="26" x14ac:dyDescent="0.2">
      <c r="A48" s="45" t="s">
        <v>81</v>
      </c>
    </row>
    <row r="49" spans="1:1" s="41" customFormat="1" ht="26" x14ac:dyDescent="0.2">
      <c r="A49" s="46" t="s">
        <v>81</v>
      </c>
    </row>
    <row r="50" spans="1:1" s="41" customFormat="1" ht="26" x14ac:dyDescent="0.2">
      <c r="A50" s="45" t="s">
        <v>81</v>
      </c>
    </row>
    <row r="51" spans="1:1" s="41" customFormat="1" x14ac:dyDescent="0.2">
      <c r="A51" s="46" t="s">
        <v>62</v>
      </c>
    </row>
    <row r="52" spans="1:1" s="41" customFormat="1" ht="26" x14ac:dyDescent="0.2">
      <c r="A52" s="45" t="s">
        <v>103</v>
      </c>
    </row>
    <row r="53" spans="1:1" s="41" customFormat="1" ht="26" x14ac:dyDescent="0.2">
      <c r="A53" s="46" t="s">
        <v>103</v>
      </c>
    </row>
    <row r="54" spans="1:1" s="41" customFormat="1" ht="26" x14ac:dyDescent="0.2">
      <c r="A54" s="45" t="s">
        <v>103</v>
      </c>
    </row>
    <row r="55" spans="1:1" s="41" customFormat="1" ht="26" x14ac:dyDescent="0.2">
      <c r="A55" s="46" t="s">
        <v>103</v>
      </c>
    </row>
    <row r="56" spans="1:1" s="41" customFormat="1" ht="26" x14ac:dyDescent="0.2">
      <c r="A56" s="45" t="s">
        <v>103</v>
      </c>
    </row>
    <row r="57" spans="1:1" s="41" customFormat="1" ht="26" x14ac:dyDescent="0.2">
      <c r="A57" s="46" t="s">
        <v>103</v>
      </c>
    </row>
    <row r="58" spans="1:1" s="41" customFormat="1" ht="26" x14ac:dyDescent="0.2">
      <c r="A58" s="45" t="s">
        <v>81</v>
      </c>
    </row>
    <row r="59" spans="1:1" s="41" customFormat="1" ht="26" x14ac:dyDescent="0.2">
      <c r="A59" s="46" t="s">
        <v>103</v>
      </c>
    </row>
    <row r="60" spans="1:1" s="41" customFormat="1" ht="26" x14ac:dyDescent="0.2">
      <c r="A60" s="45" t="s">
        <v>81</v>
      </c>
    </row>
    <row r="61" spans="1:1" s="41" customFormat="1" x14ac:dyDescent="0.2">
      <c r="A61" s="46" t="s">
        <v>88</v>
      </c>
    </row>
    <row r="62" spans="1:1" s="41" customFormat="1" ht="26" x14ac:dyDescent="0.2">
      <c r="A62" s="45" t="s">
        <v>81</v>
      </c>
    </row>
    <row r="63" spans="1:1" s="41" customFormat="1" ht="26" x14ac:dyDescent="0.2">
      <c r="A63" s="46" t="s">
        <v>304</v>
      </c>
    </row>
    <row r="64" spans="1:1" s="41" customFormat="1" ht="26" x14ac:dyDescent="0.2">
      <c r="A64" s="45" t="s">
        <v>81</v>
      </c>
    </row>
    <row r="65" spans="1:1" s="41" customFormat="1" ht="26" x14ac:dyDescent="0.2">
      <c r="A65" s="46" t="s">
        <v>103</v>
      </c>
    </row>
    <row r="66" spans="1:1" s="41" customFormat="1" ht="26" x14ac:dyDescent="0.2">
      <c r="A66" s="45" t="s">
        <v>103</v>
      </c>
    </row>
    <row r="67" spans="1:1" s="41" customFormat="1" ht="26" x14ac:dyDescent="0.2">
      <c r="A67" s="46" t="s">
        <v>81</v>
      </c>
    </row>
    <row r="68" spans="1:1" s="41" customFormat="1" ht="26" x14ac:dyDescent="0.2">
      <c r="A68" s="45" t="s">
        <v>81</v>
      </c>
    </row>
    <row r="69" spans="1:1" s="41" customFormat="1" ht="26" x14ac:dyDescent="0.2">
      <c r="A69" s="46" t="s">
        <v>81</v>
      </c>
    </row>
    <row r="70" spans="1:1" s="41" customFormat="1" ht="26" x14ac:dyDescent="0.2">
      <c r="A70" s="45" t="s">
        <v>81</v>
      </c>
    </row>
    <row r="71" spans="1:1" s="41" customFormat="1" ht="26" x14ac:dyDescent="0.2">
      <c r="A71" s="46" t="s">
        <v>103</v>
      </c>
    </row>
    <row r="72" spans="1:1" s="41" customFormat="1" ht="26" x14ac:dyDescent="0.2">
      <c r="A72" s="45" t="s">
        <v>103</v>
      </c>
    </row>
    <row r="73" spans="1:1" s="41" customFormat="1" ht="26" x14ac:dyDescent="0.2">
      <c r="A73" s="46" t="s">
        <v>103</v>
      </c>
    </row>
    <row r="74" spans="1:1" s="41" customFormat="1" ht="26" x14ac:dyDescent="0.2">
      <c r="A74" s="45" t="s">
        <v>81</v>
      </c>
    </row>
    <row r="75" spans="1:1" s="41" customFormat="1" ht="26" x14ac:dyDescent="0.2">
      <c r="A75" s="46" t="s">
        <v>81</v>
      </c>
    </row>
    <row r="76" spans="1:1" s="41" customFormat="1" x14ac:dyDescent="0.2">
      <c r="A76" s="45" t="s">
        <v>62</v>
      </c>
    </row>
    <row r="77" spans="1:1" s="41" customFormat="1" ht="26" x14ac:dyDescent="0.2">
      <c r="A77" s="46" t="s">
        <v>81</v>
      </c>
    </row>
    <row r="78" spans="1:1" s="41" customFormat="1" x14ac:dyDescent="0.2">
      <c r="A78" s="45" t="s">
        <v>88</v>
      </c>
    </row>
    <row r="79" spans="1:1" s="41" customFormat="1" ht="26" x14ac:dyDescent="0.2">
      <c r="A79" s="46" t="s">
        <v>333</v>
      </c>
    </row>
    <row r="80" spans="1:1" s="41" customFormat="1" ht="26" x14ac:dyDescent="0.2">
      <c r="A80" s="45" t="s">
        <v>304</v>
      </c>
    </row>
    <row r="81" spans="1:1" s="41" customFormat="1" ht="26" x14ac:dyDescent="0.2">
      <c r="A81" s="46" t="s">
        <v>103</v>
      </c>
    </row>
    <row r="82" spans="1:1" s="41" customFormat="1" ht="26" x14ac:dyDescent="0.2">
      <c r="A82" s="45" t="s">
        <v>103</v>
      </c>
    </row>
    <row r="83" spans="1:1" s="41" customFormat="1" ht="26" x14ac:dyDescent="0.2">
      <c r="A83" s="46" t="s">
        <v>81</v>
      </c>
    </row>
    <row r="84" spans="1:1" s="41" customFormat="1" ht="26" x14ac:dyDescent="0.2">
      <c r="A84" s="45" t="s">
        <v>81</v>
      </c>
    </row>
    <row r="85" spans="1:1" s="41" customFormat="1" x14ac:dyDescent="0.2">
      <c r="A85" s="46" t="s">
        <v>88</v>
      </c>
    </row>
    <row r="86" spans="1:1" s="41" customFormat="1" ht="26" x14ac:dyDescent="0.2">
      <c r="A86" s="45" t="s">
        <v>81</v>
      </c>
    </row>
    <row r="87" spans="1:1" s="41" customFormat="1" x14ac:dyDescent="0.2">
      <c r="A87" s="46" t="s">
        <v>88</v>
      </c>
    </row>
    <row r="88" spans="1:1" s="41" customFormat="1" x14ac:dyDescent="0.2">
      <c r="A88" s="45" t="s">
        <v>167</v>
      </c>
    </row>
    <row r="89" spans="1:1" s="41" customFormat="1" x14ac:dyDescent="0.2">
      <c r="A89" s="46" t="s">
        <v>62</v>
      </c>
    </row>
    <row r="90" spans="1:1" s="41" customFormat="1" ht="26" x14ac:dyDescent="0.2">
      <c r="A90" s="45" t="s">
        <v>81</v>
      </c>
    </row>
    <row r="91" spans="1:1" s="41" customFormat="1" x14ac:dyDescent="0.2">
      <c r="A91" s="46" t="s">
        <v>167</v>
      </c>
    </row>
    <row r="92" spans="1:1" s="41" customFormat="1" ht="26" x14ac:dyDescent="0.2">
      <c r="A92" s="45" t="s">
        <v>103</v>
      </c>
    </row>
    <row r="93" spans="1:1" s="41" customFormat="1" ht="26" x14ac:dyDescent="0.2">
      <c r="A93" s="46" t="s">
        <v>81</v>
      </c>
    </row>
    <row r="94" spans="1:1" s="41" customFormat="1" ht="26" x14ac:dyDescent="0.2">
      <c r="A94" s="45" t="s">
        <v>103</v>
      </c>
    </row>
    <row r="95" spans="1:1" s="41" customFormat="1" x14ac:dyDescent="0.2">
      <c r="A95" s="46" t="s">
        <v>62</v>
      </c>
    </row>
    <row r="96" spans="1:1" s="41" customFormat="1" ht="26" x14ac:dyDescent="0.2">
      <c r="A96" s="45" t="s">
        <v>81</v>
      </c>
    </row>
    <row r="97" spans="1:1" s="41" customFormat="1" x14ac:dyDescent="0.2">
      <c r="A97" s="46" t="s">
        <v>382</v>
      </c>
    </row>
    <row r="98" spans="1:1" s="41" customFormat="1" x14ac:dyDescent="0.2">
      <c r="A98" s="45" t="s">
        <v>62</v>
      </c>
    </row>
    <row r="99" spans="1:1" s="41" customFormat="1" ht="26" x14ac:dyDescent="0.2">
      <c r="A99" s="46" t="s">
        <v>81</v>
      </c>
    </row>
    <row r="100" spans="1:1" s="41" customFormat="1" ht="26" x14ac:dyDescent="0.2">
      <c r="A100" s="45" t="s">
        <v>103</v>
      </c>
    </row>
    <row r="101" spans="1:1" s="41" customFormat="1" ht="26" x14ac:dyDescent="0.2">
      <c r="A101" s="46" t="s">
        <v>103</v>
      </c>
    </row>
    <row r="102" spans="1:1" s="41" customFormat="1" ht="26" x14ac:dyDescent="0.2">
      <c r="A102" s="45" t="s">
        <v>81</v>
      </c>
    </row>
    <row r="103" spans="1:1" s="41" customFormat="1" ht="26" x14ac:dyDescent="0.2">
      <c r="A103" s="46" t="s">
        <v>103</v>
      </c>
    </row>
    <row r="104" spans="1:1" s="41" customFormat="1" x14ac:dyDescent="0.2">
      <c r="A104" s="45" t="s">
        <v>62</v>
      </c>
    </row>
    <row r="105" spans="1:1" s="41" customFormat="1" ht="26" x14ac:dyDescent="0.2">
      <c r="A105" s="46" t="s">
        <v>81</v>
      </c>
    </row>
    <row r="106" spans="1:1" s="41" customFormat="1" ht="26" x14ac:dyDescent="0.2">
      <c r="A106" s="45" t="s">
        <v>103</v>
      </c>
    </row>
    <row r="107" spans="1:1" s="41" customFormat="1" x14ac:dyDescent="0.2">
      <c r="A107" s="46" t="s">
        <v>88</v>
      </c>
    </row>
    <row r="108" spans="1:1" s="41" customFormat="1" ht="26" x14ac:dyDescent="0.2">
      <c r="A108" s="45" t="s">
        <v>103</v>
      </c>
    </row>
    <row r="109" spans="1:1" s="41" customFormat="1" ht="26" x14ac:dyDescent="0.2">
      <c r="A109" s="46" t="s">
        <v>81</v>
      </c>
    </row>
    <row r="110" spans="1:1" s="41" customFormat="1" x14ac:dyDescent="0.2">
      <c r="A110" s="45" t="s">
        <v>88</v>
      </c>
    </row>
    <row r="111" spans="1:1" s="41" customFormat="1" x14ac:dyDescent="0.2">
      <c r="A111" s="46" t="s">
        <v>88</v>
      </c>
    </row>
    <row r="112" spans="1:1" s="41" customFormat="1" x14ac:dyDescent="0.2">
      <c r="A112" s="45" t="s">
        <v>88</v>
      </c>
    </row>
    <row r="113" spans="1:1" s="41" customFormat="1" ht="26" x14ac:dyDescent="0.2">
      <c r="A113" s="46" t="s">
        <v>81</v>
      </c>
    </row>
    <row r="114" spans="1:1" s="41" customFormat="1" x14ac:dyDescent="0.2">
      <c r="A114" s="45" t="s">
        <v>62</v>
      </c>
    </row>
    <row r="115" spans="1:1" s="41" customFormat="1" x14ac:dyDescent="0.2">
      <c r="A115" s="46" t="s">
        <v>88</v>
      </c>
    </row>
    <row r="116" spans="1:1" s="41" customFormat="1" ht="26" x14ac:dyDescent="0.2">
      <c r="A116" s="45" t="s">
        <v>81</v>
      </c>
    </row>
    <row r="117" spans="1:1" s="41" customFormat="1" x14ac:dyDescent="0.2">
      <c r="A117" s="46" t="s">
        <v>62</v>
      </c>
    </row>
    <row r="118" spans="1:1" s="41" customFormat="1" x14ac:dyDescent="0.2">
      <c r="A118" s="45" t="s">
        <v>62</v>
      </c>
    </row>
    <row r="119" spans="1:1" s="41" customFormat="1" ht="26" x14ac:dyDescent="0.2">
      <c r="A119" s="46" t="s">
        <v>81</v>
      </c>
    </row>
    <row r="120" spans="1:1" s="41" customFormat="1" ht="26" x14ac:dyDescent="0.2">
      <c r="A120" s="45" t="s">
        <v>81</v>
      </c>
    </row>
    <row r="121" spans="1:1" s="41" customFormat="1" ht="26" x14ac:dyDescent="0.2">
      <c r="A121" s="46" t="s">
        <v>103</v>
      </c>
    </row>
    <row r="122" spans="1:1" s="41" customFormat="1" x14ac:dyDescent="0.2">
      <c r="A122" s="45" t="s">
        <v>62</v>
      </c>
    </row>
    <row r="123" spans="1:1" s="41" customFormat="1" x14ac:dyDescent="0.2">
      <c r="A123" s="46" t="s">
        <v>167</v>
      </c>
    </row>
    <row r="124" spans="1:1" s="41" customFormat="1" ht="26" x14ac:dyDescent="0.2">
      <c r="A124" s="45" t="s">
        <v>103</v>
      </c>
    </row>
    <row r="125" spans="1:1" s="41" customFormat="1" x14ac:dyDescent="0.2">
      <c r="A125" s="46" t="s">
        <v>88</v>
      </c>
    </row>
    <row r="126" spans="1:1" s="41" customFormat="1" x14ac:dyDescent="0.2">
      <c r="A126" s="45" t="s">
        <v>88</v>
      </c>
    </row>
    <row r="127" spans="1:1" s="41" customFormat="1" ht="26" x14ac:dyDescent="0.2">
      <c r="A127" s="46" t="s">
        <v>103</v>
      </c>
    </row>
    <row r="128" spans="1:1" s="41" customFormat="1" ht="26" x14ac:dyDescent="0.2">
      <c r="A128" s="45" t="s">
        <v>81</v>
      </c>
    </row>
    <row r="129" spans="1:1" s="41" customFormat="1" x14ac:dyDescent="0.2">
      <c r="A129" s="46" t="s">
        <v>88</v>
      </c>
    </row>
    <row r="130" spans="1:1" s="41" customFormat="1" ht="26" x14ac:dyDescent="0.2">
      <c r="A130" s="45" t="s">
        <v>103</v>
      </c>
    </row>
    <row r="131" spans="1:1" s="41" customFormat="1" ht="26" x14ac:dyDescent="0.2">
      <c r="A131" s="46" t="s">
        <v>103</v>
      </c>
    </row>
    <row r="132" spans="1:1" s="41" customFormat="1" x14ac:dyDescent="0.2">
      <c r="A132" s="45" t="s">
        <v>62</v>
      </c>
    </row>
    <row r="133" spans="1:1" s="41" customFormat="1" ht="26" x14ac:dyDescent="0.2">
      <c r="A133" s="46" t="s">
        <v>81</v>
      </c>
    </row>
    <row r="134" spans="1:1" s="41" customFormat="1" x14ac:dyDescent="0.2">
      <c r="A134" s="45" t="s">
        <v>62</v>
      </c>
    </row>
    <row r="135" spans="1:1" s="41" customFormat="1" ht="26" x14ac:dyDescent="0.2">
      <c r="A135" s="46" t="s">
        <v>81</v>
      </c>
    </row>
    <row r="136" spans="1:1" s="41" customFormat="1" ht="26" x14ac:dyDescent="0.2">
      <c r="A136" s="45" t="s">
        <v>81</v>
      </c>
    </row>
    <row r="137" spans="1:1" s="41" customFormat="1" x14ac:dyDescent="0.2">
      <c r="A137" s="46" t="s">
        <v>88</v>
      </c>
    </row>
    <row r="138" spans="1:1" s="41" customFormat="1" x14ac:dyDescent="0.2">
      <c r="A138" s="45" t="s">
        <v>62</v>
      </c>
    </row>
    <row r="139" spans="1:1" s="41" customFormat="1" ht="26" x14ac:dyDescent="0.2">
      <c r="A139" s="46" t="s">
        <v>103</v>
      </c>
    </row>
    <row r="140" spans="1:1" s="41" customFormat="1" ht="26" x14ac:dyDescent="0.2">
      <c r="A140" s="45" t="s">
        <v>81</v>
      </c>
    </row>
    <row r="141" spans="1:1" s="41" customFormat="1" ht="26" x14ac:dyDescent="0.2">
      <c r="A141" s="46" t="s">
        <v>103</v>
      </c>
    </row>
    <row r="142" spans="1:1" s="41" customFormat="1" x14ac:dyDescent="0.2">
      <c r="A142" s="45" t="s">
        <v>88</v>
      </c>
    </row>
    <row r="143" spans="1:1" s="41" customFormat="1" x14ac:dyDescent="0.2">
      <c r="A143" s="46" t="s">
        <v>62</v>
      </c>
    </row>
    <row r="144" spans="1:1" s="41" customFormat="1" x14ac:dyDescent="0.2">
      <c r="A144" s="45" t="s">
        <v>88</v>
      </c>
    </row>
    <row r="145" spans="1:1" s="41" customFormat="1" x14ac:dyDescent="0.2">
      <c r="A145" s="46" t="s">
        <v>88</v>
      </c>
    </row>
    <row r="146" spans="1:1" s="41" customFormat="1" x14ac:dyDescent="0.2">
      <c r="A146" s="45" t="s">
        <v>382</v>
      </c>
    </row>
    <row r="147" spans="1:1" s="41" customFormat="1" ht="26" x14ac:dyDescent="0.2">
      <c r="A147" s="46" t="s">
        <v>103</v>
      </c>
    </row>
    <row r="148" spans="1:1" s="41" customFormat="1" ht="26" x14ac:dyDescent="0.2">
      <c r="A148" s="45" t="s">
        <v>81</v>
      </c>
    </row>
    <row r="149" spans="1:1" s="41" customFormat="1" ht="26" x14ac:dyDescent="0.2">
      <c r="A149" s="46" t="s">
        <v>81</v>
      </c>
    </row>
    <row r="150" spans="1:1" s="41" customFormat="1" ht="26" x14ac:dyDescent="0.2">
      <c r="A150" s="45" t="s">
        <v>103</v>
      </c>
    </row>
    <row r="151" spans="1:1" s="41" customFormat="1" x14ac:dyDescent="0.2">
      <c r="A151" s="46" t="s">
        <v>167</v>
      </c>
    </row>
    <row r="152" spans="1:1" s="41" customFormat="1" ht="26" x14ac:dyDescent="0.2">
      <c r="A152" s="47" t="s">
        <v>81</v>
      </c>
    </row>
  </sheetData>
  <pageMargins left="0.70000000000000007" right="0.70000000000000007" top="0.75" bottom="0.75" header="0.30000000000000004" footer="0.3000000000000000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58DF-3733-4888-B026-F88A916043A7}">
  <dimension ref="A3:E9"/>
  <sheetViews>
    <sheetView topLeftCell="C11" workbookViewId="0">
      <selection activeCell="D3" sqref="D3:E9"/>
    </sheetView>
  </sheetViews>
  <sheetFormatPr baseColWidth="10" defaultColWidth="11.83203125" defaultRowHeight="15" x14ac:dyDescent="0.2"/>
  <cols>
    <col min="1" max="1" width="37.5" bestFit="1" customWidth="1"/>
    <col min="2" max="2" width="27.33203125" customWidth="1"/>
    <col min="3" max="3" width="11.83203125" customWidth="1"/>
    <col min="4" max="4" width="45.83203125" bestFit="1" customWidth="1"/>
    <col min="5" max="5" width="23.5" customWidth="1"/>
  </cols>
  <sheetData>
    <row r="3" spans="1:5" s="31" customFormat="1" ht="64" x14ac:dyDescent="0.2">
      <c r="A3" s="62" t="s">
        <v>0</v>
      </c>
      <c r="B3" s="58" t="s">
        <v>18</v>
      </c>
      <c r="D3" s="41"/>
      <c r="E3" s="48" t="str">
        <f>Feuil1!L1</f>
        <v>Q12 : A quelle fréquence rencontrez-vous des patientes présentant un syndrome de Lacomme ?</v>
      </c>
    </row>
    <row r="4" spans="1:5" x14ac:dyDescent="0.2">
      <c r="A4" s="3" t="s">
        <v>19</v>
      </c>
      <c r="B4" s="2">
        <v>1</v>
      </c>
      <c r="D4" t="str">
        <f>A4&amp;" "&amp;"(n="&amp;B4&amp;")"</f>
        <v>A chaque suivi (n=1)</v>
      </c>
      <c r="E4" s="25">
        <f>B4/B$9</f>
        <v>6.7114093959731542E-3</v>
      </c>
    </row>
    <row r="5" spans="1:5" x14ac:dyDescent="0.2">
      <c r="A5" s="4" t="s">
        <v>20</v>
      </c>
      <c r="B5" s="5">
        <v>67</v>
      </c>
      <c r="D5" t="str">
        <f>A5&amp;" "&amp;"(n="&amp;B5&amp;")"</f>
        <v>Fréquemment (&gt; ou = à 1 fois par semaine) (n=67)</v>
      </c>
      <c r="E5" s="25">
        <f>B5/B$9</f>
        <v>0.44966442953020136</v>
      </c>
    </row>
    <row r="6" spans="1:5" x14ac:dyDescent="0.2">
      <c r="A6" s="4" t="s">
        <v>21</v>
      </c>
      <c r="B6" s="5">
        <v>55</v>
      </c>
      <c r="D6" t="str">
        <f>A6&amp;" "&amp;"(n="&amp;B6&amp;")"</f>
        <v>Occasionnellement (&gt; ou = à 1 fois par mois) (n=55)</v>
      </c>
      <c r="E6" s="25">
        <f>B6/B$9</f>
        <v>0.36912751677852351</v>
      </c>
    </row>
    <row r="7" spans="1:5" x14ac:dyDescent="0.2">
      <c r="A7" s="4" t="s">
        <v>22</v>
      </c>
      <c r="B7" s="5">
        <v>23</v>
      </c>
      <c r="D7" t="str">
        <f>A7&amp;" "&amp;"(n="&amp;B7&amp;")"</f>
        <v>Rarement (&gt; ou = à 1 fois tous les 3 mois) (n=23)</v>
      </c>
      <c r="E7" s="25">
        <f>B7/B$9</f>
        <v>0.15436241610738255</v>
      </c>
    </row>
    <row r="8" spans="1:5" x14ac:dyDescent="0.2">
      <c r="A8" s="4" t="s">
        <v>23</v>
      </c>
      <c r="B8" s="5">
        <v>3</v>
      </c>
      <c r="D8" t="str">
        <f>A8&amp;" "&amp;"(n="&amp;B8&amp;")"</f>
        <v>Jamais (n=3)</v>
      </c>
      <c r="E8" s="25">
        <f>B8/B$9</f>
        <v>2.0134228187919462E-2</v>
      </c>
    </row>
    <row r="9" spans="1:5" x14ac:dyDescent="0.2">
      <c r="A9" s="6" t="s">
        <v>6</v>
      </c>
      <c r="B9" s="7">
        <v>149</v>
      </c>
      <c r="E9" s="25">
        <f>SUM(E4:E8)</f>
        <v>1</v>
      </c>
    </row>
  </sheetData>
  <pageMargins left="0.70000000000000007" right="0.70000000000000007" top="0.75" bottom="0.75" header="0.30000000000000004" footer="0.30000000000000004"/>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3DE5-69FB-47B2-8028-65620F355E6C}">
  <dimension ref="A3:E7"/>
  <sheetViews>
    <sheetView topLeftCell="A10" workbookViewId="0">
      <selection activeCell="B19" sqref="B19"/>
    </sheetView>
  </sheetViews>
  <sheetFormatPr baseColWidth="10" defaultColWidth="11.83203125" defaultRowHeight="15" x14ac:dyDescent="0.2"/>
  <cols>
    <col min="1" max="1" width="19.1640625" bestFit="1" customWidth="1"/>
    <col min="2" max="2" width="42.6640625" customWidth="1"/>
    <col min="3" max="3" width="11.83203125" customWidth="1"/>
    <col min="4" max="4" width="20" customWidth="1"/>
    <col min="5" max="5" width="25.33203125" customWidth="1"/>
  </cols>
  <sheetData>
    <row r="3" spans="1:5" s="41" customFormat="1" ht="48" x14ac:dyDescent="0.2">
      <c r="A3" s="63" t="s">
        <v>0</v>
      </c>
      <c r="B3" s="64" t="s">
        <v>24</v>
      </c>
      <c r="E3" s="48" t="str">
        <f>Feuil1!M1</f>
        <v>Q13 : Estimez-vous qu’il y a un retard diagnostic à la prise en charge de ce syndrome ?</v>
      </c>
    </row>
    <row r="4" spans="1:5" x14ac:dyDescent="0.2">
      <c r="A4" s="3" t="s">
        <v>11</v>
      </c>
      <c r="B4" s="2">
        <v>33</v>
      </c>
      <c r="D4" t="str">
        <f>A4&amp;" "&amp;"(n="&amp;B4&amp;")"</f>
        <v>Non (n=33)</v>
      </c>
      <c r="E4" s="25">
        <f>B4/B$7</f>
        <v>0.2185430463576159</v>
      </c>
    </row>
    <row r="5" spans="1:5" x14ac:dyDescent="0.2">
      <c r="A5" s="4" t="s">
        <v>12</v>
      </c>
      <c r="B5" s="5">
        <v>75</v>
      </c>
      <c r="D5" t="str">
        <f>A5&amp;" "&amp;"(n="&amp;B5&amp;")"</f>
        <v>Oui (n=75)</v>
      </c>
      <c r="E5" s="25">
        <f>B5/B$7</f>
        <v>0.49668874172185429</v>
      </c>
    </row>
    <row r="6" spans="1:5" x14ac:dyDescent="0.2">
      <c r="A6" s="4" t="s">
        <v>13</v>
      </c>
      <c r="B6" s="5">
        <v>43</v>
      </c>
      <c r="D6" t="str">
        <f>A6&amp;" "&amp;"(n="&amp;B6&amp;")"</f>
        <v>Sans avis (n=43)</v>
      </c>
      <c r="E6" s="25">
        <f>B6/B$7</f>
        <v>0.28476821192052981</v>
      </c>
    </row>
    <row r="7" spans="1:5" x14ac:dyDescent="0.2">
      <c r="A7" s="6" t="s">
        <v>6</v>
      </c>
      <c r="B7" s="7">
        <v>151</v>
      </c>
      <c r="E7" s="25">
        <f>SUM(E4:E6)</f>
        <v>1</v>
      </c>
    </row>
  </sheetData>
  <pageMargins left="0.70000000000000007" right="0.70000000000000007" top="0.75" bottom="0.75" header="0.30000000000000004" footer="0.30000000000000004"/>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C59A-2C2A-4A2A-BA31-722465FE69ED}">
  <dimension ref="A3:B10"/>
  <sheetViews>
    <sheetView topLeftCell="B11" workbookViewId="0">
      <selection activeCell="A20" sqref="A20"/>
    </sheetView>
  </sheetViews>
  <sheetFormatPr baseColWidth="10" defaultColWidth="10.83203125" defaultRowHeight="15" x14ac:dyDescent="0.2"/>
  <cols>
    <col min="1" max="1" width="58.832031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45</v>
      </c>
      <c r="B4" t="s">
        <v>485</v>
      </c>
    </row>
    <row r="5" spans="1:2" x14ac:dyDescent="0.2">
      <c r="A5" t="s">
        <v>695</v>
      </c>
      <c r="B5" s="26">
        <v>0.46666666666666667</v>
      </c>
    </row>
    <row r="6" spans="1:2" x14ac:dyDescent="0.2">
      <c r="A6" t="s">
        <v>696</v>
      </c>
      <c r="B6" s="26">
        <v>0.2</v>
      </c>
    </row>
    <row r="7" spans="1:2" x14ac:dyDescent="0.2">
      <c r="A7" t="s">
        <v>697</v>
      </c>
      <c r="B7" s="26">
        <v>0.11481481481481481</v>
      </c>
    </row>
    <row r="8" spans="1:2" x14ac:dyDescent="0.2">
      <c r="A8" t="s">
        <v>698</v>
      </c>
      <c r="B8" s="26">
        <v>3.7037037037037038E-3</v>
      </c>
    </row>
    <row r="9" spans="1:2" x14ac:dyDescent="0.2">
      <c r="A9" t="s">
        <v>699</v>
      </c>
      <c r="B9" s="26">
        <v>0.21481481481481482</v>
      </c>
    </row>
    <row r="10" spans="1:2" x14ac:dyDescent="0.2">
      <c r="A10" t="s">
        <v>6</v>
      </c>
      <c r="B10" s="26">
        <v>1</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79D0-EA17-478A-8464-4AF0E5A0CFF9}">
  <dimension ref="A1:G152"/>
  <sheetViews>
    <sheetView zoomScale="90" zoomScaleNormal="90" workbookViewId="0">
      <selection activeCell="C6" sqref="C6"/>
    </sheetView>
  </sheetViews>
  <sheetFormatPr baseColWidth="10" defaultColWidth="11.83203125" defaultRowHeight="15" x14ac:dyDescent="0.2"/>
  <cols>
    <col min="1" max="1" width="75.5" style="41" customWidth="1"/>
    <col min="2" max="2" width="7.6640625" style="41" customWidth="1"/>
    <col min="3" max="3" width="47.83203125" style="41" customWidth="1"/>
    <col min="4" max="4" width="11.83203125" style="41" customWidth="1"/>
    <col min="5" max="5" width="7.5" style="41" customWidth="1"/>
    <col min="6" max="6" width="28.83203125" style="41" customWidth="1"/>
    <col min="7" max="16384" width="11.83203125" style="41"/>
  </cols>
  <sheetData>
    <row r="1" spans="1:7" ht="26" x14ac:dyDescent="0.2">
      <c r="A1" s="44" t="s">
        <v>45</v>
      </c>
      <c r="C1" s="44" t="s">
        <v>45</v>
      </c>
      <c r="D1" s="41" t="s">
        <v>528</v>
      </c>
      <c r="F1" s="44" t="str">
        <f>$A1</f>
        <v>Si oui, quelles sont les principales raisons de ce retard diagnostic ?</v>
      </c>
      <c r="G1" s="41" t="s">
        <v>575</v>
      </c>
    </row>
    <row r="2" spans="1:7" ht="32" x14ac:dyDescent="0.2">
      <c r="A2" s="45" t="s">
        <v>63</v>
      </c>
      <c r="C2" s="45" t="s">
        <v>63</v>
      </c>
      <c r="D2" s="41">
        <f>COUNTIF($A$2:$A$152,"*Absence de recommandations professionnelles claires*")</f>
        <v>63</v>
      </c>
      <c r="F2" s="41" t="str">
        <f t="shared" ref="F2" si="0">C2&amp;" "&amp;"(n="&amp;D2&amp;")"</f>
        <v>Absence de recommandations professionnelles claires (n=63)</v>
      </c>
      <c r="G2" s="48">
        <f t="shared" ref="G2:G7" si="1">D2/SUM(D$2:D$7)</f>
        <v>0.23333333333333334</v>
      </c>
    </row>
    <row r="3" spans="1:7" ht="32" x14ac:dyDescent="0.2">
      <c r="A3" s="50">
        <v>0</v>
      </c>
      <c r="C3" s="41" t="s">
        <v>148</v>
      </c>
      <c r="D3" s="41">
        <f>COUNTIF($A$2:$A$152,"*Assimilation du syndrome à des lombalgies non spécifiques*")</f>
        <v>54</v>
      </c>
      <c r="F3" s="41" t="str">
        <f t="shared" ref="F3:F4" si="2">C3&amp;" "&amp;"(n="&amp;D3&amp;")"</f>
        <v>Assimilation du syndrome à des lombalgies non spécifiques (n=54)</v>
      </c>
      <c r="G3" s="48">
        <f t="shared" si="1"/>
        <v>0.2</v>
      </c>
    </row>
    <row r="4" spans="1:7" ht="32" x14ac:dyDescent="0.2">
      <c r="A4" s="45" t="s">
        <v>82</v>
      </c>
      <c r="C4" s="41" t="s">
        <v>89</v>
      </c>
      <c r="D4" s="41">
        <f>COUNTIF($A$2:$A$152,"*Sous-estimation des plaintes des patientes*")</f>
        <v>58</v>
      </c>
      <c r="F4" s="41" t="str">
        <f t="shared" si="2"/>
        <v>Sous-estimation des plaintes des patientes (n=58)</v>
      </c>
      <c r="G4" s="48">
        <f t="shared" si="1"/>
        <v>0.21481481481481482</v>
      </c>
    </row>
    <row r="5" spans="1:7" ht="32" x14ac:dyDescent="0.2">
      <c r="A5" s="46" t="s">
        <v>89</v>
      </c>
      <c r="C5" s="41" t="s">
        <v>526</v>
      </c>
      <c r="D5" s="41">
        <f>COUNTIF($A$2:$A$152,"*Difficultés d’accès aux thérapies non médicamenteuses*")</f>
        <v>31</v>
      </c>
      <c r="F5" s="41" t="str">
        <f t="shared" ref="F5:F7" si="3">C5&amp;" "&amp;"(n="&amp;D5&amp;")"</f>
        <v>Difficultés d’accès aux thérapies non médicamenteuses (n=31)</v>
      </c>
      <c r="G5" s="48">
        <f t="shared" si="1"/>
        <v>0.11481481481481481</v>
      </c>
    </row>
    <row r="6" spans="1:7" ht="32" x14ac:dyDescent="0.2">
      <c r="A6" s="45" t="s">
        <v>82</v>
      </c>
      <c r="C6" s="41" t="s">
        <v>63</v>
      </c>
      <c r="D6" s="41">
        <f>COUNTIF($A$2:$A$152,"*Absence de recommandations professionnelles claires*")</f>
        <v>63</v>
      </c>
      <c r="F6" s="41" t="str">
        <f t="shared" si="3"/>
        <v>Absence de recommandations professionnelles claires (n=63)</v>
      </c>
      <c r="G6" s="48">
        <f t="shared" si="1"/>
        <v>0.23333333333333334</v>
      </c>
    </row>
    <row r="7" spans="1:7" ht="32" x14ac:dyDescent="0.2">
      <c r="A7" s="50">
        <v>0</v>
      </c>
      <c r="C7" s="41" t="s">
        <v>527</v>
      </c>
      <c r="D7" s="41">
        <f>COUNTIF($A$2:$A$152,"*Insuffisance d'examen clinique spécifique*")</f>
        <v>1</v>
      </c>
      <c r="F7" s="41" t="str">
        <f t="shared" si="3"/>
        <v>Insuffisance d'examen clinique spécifique  (n=1)</v>
      </c>
      <c r="G7" s="48">
        <f t="shared" si="1"/>
        <v>3.7037037037037038E-3</v>
      </c>
    </row>
    <row r="8" spans="1:7" x14ac:dyDescent="0.2">
      <c r="A8" s="45" t="s">
        <v>104</v>
      </c>
    </row>
    <row r="9" spans="1:7" ht="26" x14ac:dyDescent="0.2">
      <c r="A9" s="46" t="s">
        <v>109</v>
      </c>
      <c r="D9" s="41">
        <f>SUM(D2:D7)</f>
        <v>270</v>
      </c>
      <c r="G9" s="48">
        <f>SUM(G2:G7)</f>
        <v>0.99999999999999989</v>
      </c>
    </row>
    <row r="10" spans="1:7" ht="39" x14ac:dyDescent="0.2">
      <c r="A10" s="45" t="s">
        <v>115</v>
      </c>
    </row>
    <row r="11" spans="1:7" ht="26" x14ac:dyDescent="0.2">
      <c r="A11" s="46" t="s">
        <v>120</v>
      </c>
    </row>
    <row r="12" spans="1:7" ht="26" x14ac:dyDescent="0.2">
      <c r="A12" s="45" t="s">
        <v>126</v>
      </c>
    </row>
    <row r="13" spans="1:7" x14ac:dyDescent="0.2">
      <c r="A13" s="46" t="s">
        <v>130</v>
      </c>
    </row>
    <row r="14" spans="1:7" ht="26" x14ac:dyDescent="0.2">
      <c r="A14" s="45" t="s">
        <v>135</v>
      </c>
    </row>
    <row r="15" spans="1:7" x14ac:dyDescent="0.2">
      <c r="A15" s="46" t="s">
        <v>143</v>
      </c>
    </row>
    <row r="16" spans="1:7" x14ac:dyDescent="0.2">
      <c r="A16" s="45" t="s">
        <v>148</v>
      </c>
    </row>
    <row r="17" spans="1:1" x14ac:dyDescent="0.2">
      <c r="A17" s="50">
        <v>0</v>
      </c>
    </row>
    <row r="18" spans="1:1" ht="26" x14ac:dyDescent="0.2">
      <c r="A18" s="45" t="s">
        <v>159</v>
      </c>
    </row>
    <row r="19" spans="1:1" x14ac:dyDescent="0.2">
      <c r="A19" s="50">
        <v>0</v>
      </c>
    </row>
    <row r="20" spans="1:1" x14ac:dyDescent="0.2">
      <c r="A20" s="51">
        <v>0</v>
      </c>
    </row>
    <row r="21" spans="1:1" ht="26" x14ac:dyDescent="0.2">
      <c r="A21" s="46" t="s">
        <v>170</v>
      </c>
    </row>
    <row r="22" spans="1:1" x14ac:dyDescent="0.2">
      <c r="A22" s="51">
        <v>0</v>
      </c>
    </row>
    <row r="23" spans="1:1" ht="39" x14ac:dyDescent="0.2">
      <c r="A23" s="46" t="s">
        <v>177</v>
      </c>
    </row>
    <row r="24" spans="1:1" x14ac:dyDescent="0.2">
      <c r="A24" s="51">
        <v>0</v>
      </c>
    </row>
    <row r="25" spans="1:1" x14ac:dyDescent="0.2">
      <c r="A25" s="50">
        <v>0</v>
      </c>
    </row>
    <row r="26" spans="1:1" ht="26" x14ac:dyDescent="0.2">
      <c r="A26" s="45" t="s">
        <v>189</v>
      </c>
    </row>
    <row r="27" spans="1:1" ht="39" x14ac:dyDescent="0.2">
      <c r="A27" s="46" t="s">
        <v>192</v>
      </c>
    </row>
    <row r="28" spans="1:1" ht="26" x14ac:dyDescent="0.2">
      <c r="A28" s="45" t="s">
        <v>189</v>
      </c>
    </row>
    <row r="29" spans="1:1" ht="26" x14ac:dyDescent="0.2">
      <c r="A29" s="46" t="s">
        <v>82</v>
      </c>
    </row>
    <row r="30" spans="1:1" x14ac:dyDescent="0.2">
      <c r="A30" s="51">
        <v>0</v>
      </c>
    </row>
    <row r="31" spans="1:1" x14ac:dyDescent="0.2">
      <c r="A31" s="50">
        <v>0</v>
      </c>
    </row>
    <row r="32" spans="1:1" ht="26" x14ac:dyDescent="0.2">
      <c r="A32" s="45" t="s">
        <v>159</v>
      </c>
    </row>
    <row r="33" spans="1:1" ht="26" x14ac:dyDescent="0.2">
      <c r="A33" s="46" t="s">
        <v>219</v>
      </c>
    </row>
    <row r="34" spans="1:1" ht="39" x14ac:dyDescent="0.2">
      <c r="A34" s="45" t="s">
        <v>177</v>
      </c>
    </row>
    <row r="35" spans="1:1" ht="26" x14ac:dyDescent="0.2">
      <c r="A35" s="46" t="s">
        <v>170</v>
      </c>
    </row>
    <row r="36" spans="1:1" ht="39" x14ac:dyDescent="0.2">
      <c r="A36" s="45" t="s">
        <v>231</v>
      </c>
    </row>
    <row r="37" spans="1:1" ht="39" x14ac:dyDescent="0.2">
      <c r="A37" s="46" t="s">
        <v>177</v>
      </c>
    </row>
    <row r="38" spans="1:1" x14ac:dyDescent="0.2">
      <c r="A38" s="51">
        <v>0</v>
      </c>
    </row>
    <row r="39" spans="1:1" ht="39" x14ac:dyDescent="0.2">
      <c r="A39" s="46" t="s">
        <v>192</v>
      </c>
    </row>
    <row r="40" spans="1:1" ht="39" x14ac:dyDescent="0.2">
      <c r="A40" s="45" t="s">
        <v>177</v>
      </c>
    </row>
    <row r="41" spans="1:1" ht="26" x14ac:dyDescent="0.2">
      <c r="A41" s="46" t="s">
        <v>159</v>
      </c>
    </row>
    <row r="42" spans="1:1" ht="39" x14ac:dyDescent="0.2">
      <c r="A42" s="45" t="s">
        <v>192</v>
      </c>
    </row>
    <row r="43" spans="1:1" ht="39" x14ac:dyDescent="0.2">
      <c r="A43" s="46" t="s">
        <v>177</v>
      </c>
    </row>
    <row r="44" spans="1:1" x14ac:dyDescent="0.2">
      <c r="A44" s="45" t="s">
        <v>63</v>
      </c>
    </row>
    <row r="45" spans="1:1" ht="26" x14ac:dyDescent="0.2">
      <c r="A45" s="46" t="s">
        <v>258</v>
      </c>
    </row>
    <row r="46" spans="1:1" x14ac:dyDescent="0.2">
      <c r="A46" s="45" t="s">
        <v>63</v>
      </c>
    </row>
    <row r="47" spans="1:1" x14ac:dyDescent="0.2">
      <c r="A47" s="50">
        <v>0</v>
      </c>
    </row>
    <row r="48" spans="1:1" ht="26" x14ac:dyDescent="0.2">
      <c r="A48" s="45" t="s">
        <v>159</v>
      </c>
    </row>
    <row r="49" spans="1:1" ht="26" x14ac:dyDescent="0.2">
      <c r="A49" s="46" t="s">
        <v>159</v>
      </c>
    </row>
    <row r="50" spans="1:1" ht="52" x14ac:dyDescent="0.2">
      <c r="A50" s="45" t="s">
        <v>273</v>
      </c>
    </row>
    <row r="51" spans="1:1" ht="26" x14ac:dyDescent="0.2">
      <c r="A51" s="46" t="s">
        <v>120</v>
      </c>
    </row>
    <row r="52" spans="1:1" x14ac:dyDescent="0.2">
      <c r="A52" s="51">
        <v>0</v>
      </c>
    </row>
    <row r="53" spans="1:1" ht="39" x14ac:dyDescent="0.2">
      <c r="A53" s="46" t="s">
        <v>192</v>
      </c>
    </row>
    <row r="54" spans="1:1" ht="26" x14ac:dyDescent="0.2">
      <c r="A54" s="45" t="s">
        <v>109</v>
      </c>
    </row>
    <row r="55" spans="1:1" ht="26" x14ac:dyDescent="0.2">
      <c r="A55" s="46" t="s">
        <v>120</v>
      </c>
    </row>
    <row r="56" spans="1:1" x14ac:dyDescent="0.2">
      <c r="A56" s="51">
        <v>0</v>
      </c>
    </row>
    <row r="57" spans="1:1" ht="39" x14ac:dyDescent="0.2">
      <c r="A57" s="46" t="s">
        <v>192</v>
      </c>
    </row>
    <row r="58" spans="1:1" x14ac:dyDescent="0.2">
      <c r="A58" s="51">
        <v>0</v>
      </c>
    </row>
    <row r="59" spans="1:1" ht="39" x14ac:dyDescent="0.2">
      <c r="A59" s="46" t="s">
        <v>115</v>
      </c>
    </row>
    <row r="60" spans="1:1" x14ac:dyDescent="0.2">
      <c r="A60" s="51">
        <v>0</v>
      </c>
    </row>
    <row r="61" spans="1:1" x14ac:dyDescent="0.2">
      <c r="A61" s="50">
        <v>0</v>
      </c>
    </row>
    <row r="62" spans="1:1" x14ac:dyDescent="0.2">
      <c r="A62" s="51">
        <v>0</v>
      </c>
    </row>
    <row r="63" spans="1:1" ht="26" x14ac:dyDescent="0.2">
      <c r="A63" s="46" t="s">
        <v>143</v>
      </c>
    </row>
    <row r="64" spans="1:1" x14ac:dyDescent="0.2">
      <c r="A64" s="51">
        <v>0</v>
      </c>
    </row>
    <row r="65" spans="1:1" ht="26" x14ac:dyDescent="0.2">
      <c r="A65" s="46" t="s">
        <v>120</v>
      </c>
    </row>
    <row r="66" spans="1:1" x14ac:dyDescent="0.2">
      <c r="A66" s="51">
        <v>0</v>
      </c>
    </row>
    <row r="67" spans="1:1" x14ac:dyDescent="0.2">
      <c r="A67" s="50">
        <v>0</v>
      </c>
    </row>
    <row r="68" spans="1:1" ht="39" x14ac:dyDescent="0.2">
      <c r="A68" s="45" t="s">
        <v>192</v>
      </c>
    </row>
    <row r="69" spans="1:1" ht="26" x14ac:dyDescent="0.2">
      <c r="A69" s="46" t="s">
        <v>109</v>
      </c>
    </row>
    <row r="70" spans="1:1" ht="26" x14ac:dyDescent="0.2">
      <c r="A70" s="45" t="s">
        <v>126</v>
      </c>
    </row>
    <row r="71" spans="1:1" x14ac:dyDescent="0.2">
      <c r="A71" s="50">
        <v>0</v>
      </c>
    </row>
    <row r="72" spans="1:1" ht="39" x14ac:dyDescent="0.2">
      <c r="A72" s="45" t="s">
        <v>177</v>
      </c>
    </row>
    <row r="73" spans="1:1" x14ac:dyDescent="0.2">
      <c r="A73" s="50">
        <v>0</v>
      </c>
    </row>
    <row r="74" spans="1:1" x14ac:dyDescent="0.2">
      <c r="A74" s="51">
        <v>0</v>
      </c>
    </row>
    <row r="75" spans="1:1" x14ac:dyDescent="0.2">
      <c r="A75" s="50">
        <v>0</v>
      </c>
    </row>
    <row r="76" spans="1:1" ht="26" x14ac:dyDescent="0.2">
      <c r="A76" s="45" t="s">
        <v>109</v>
      </c>
    </row>
    <row r="77" spans="1:1" ht="26" x14ac:dyDescent="0.2">
      <c r="A77" s="46" t="s">
        <v>143</v>
      </c>
    </row>
    <row r="78" spans="1:1" x14ac:dyDescent="0.2">
      <c r="A78" s="45" t="s">
        <v>130</v>
      </c>
    </row>
    <row r="79" spans="1:1" ht="26" x14ac:dyDescent="0.2">
      <c r="A79" s="46" t="s">
        <v>159</v>
      </c>
    </row>
    <row r="80" spans="1:1" ht="26" x14ac:dyDescent="0.2">
      <c r="A80" s="45" t="s">
        <v>339</v>
      </c>
    </row>
    <row r="81" spans="1:1" ht="26" x14ac:dyDescent="0.2">
      <c r="A81" s="46" t="s">
        <v>126</v>
      </c>
    </row>
    <row r="82" spans="1:1" ht="39" x14ac:dyDescent="0.2">
      <c r="A82" s="45" t="s">
        <v>192</v>
      </c>
    </row>
    <row r="83" spans="1:1" ht="26" x14ac:dyDescent="0.2">
      <c r="A83" s="46" t="s">
        <v>344</v>
      </c>
    </row>
    <row r="84" spans="1:1" ht="26" x14ac:dyDescent="0.2">
      <c r="A84" s="45" t="s">
        <v>339</v>
      </c>
    </row>
    <row r="85" spans="1:1" ht="26" x14ac:dyDescent="0.2">
      <c r="A85" s="46" t="s">
        <v>170</v>
      </c>
    </row>
    <row r="86" spans="1:1" ht="26" x14ac:dyDescent="0.2">
      <c r="A86" s="45" t="s">
        <v>159</v>
      </c>
    </row>
    <row r="87" spans="1:1" ht="26" x14ac:dyDescent="0.2">
      <c r="A87" s="46" t="s">
        <v>339</v>
      </c>
    </row>
    <row r="88" spans="1:1" x14ac:dyDescent="0.2">
      <c r="A88" s="51">
        <v>0</v>
      </c>
    </row>
    <row r="89" spans="1:1" x14ac:dyDescent="0.2">
      <c r="A89" s="50">
        <v>0</v>
      </c>
    </row>
    <row r="90" spans="1:1" x14ac:dyDescent="0.2">
      <c r="A90" s="51">
        <v>0</v>
      </c>
    </row>
    <row r="91" spans="1:1" ht="26" x14ac:dyDescent="0.2">
      <c r="A91" s="46" t="s">
        <v>159</v>
      </c>
    </row>
    <row r="92" spans="1:1" ht="26" x14ac:dyDescent="0.2">
      <c r="A92" s="45" t="s">
        <v>258</v>
      </c>
    </row>
    <row r="93" spans="1:1" ht="26" x14ac:dyDescent="0.2">
      <c r="A93" s="46" t="s">
        <v>120</v>
      </c>
    </row>
    <row r="94" spans="1:1" x14ac:dyDescent="0.2">
      <c r="A94" s="51">
        <v>0</v>
      </c>
    </row>
    <row r="95" spans="1:1" x14ac:dyDescent="0.2">
      <c r="A95" s="46" t="s">
        <v>104</v>
      </c>
    </row>
    <row r="96" spans="1:1" x14ac:dyDescent="0.2">
      <c r="A96" s="51">
        <v>0</v>
      </c>
    </row>
    <row r="97" spans="1:1" ht="26" x14ac:dyDescent="0.2">
      <c r="A97" s="46" t="s">
        <v>82</v>
      </c>
    </row>
    <row r="98" spans="1:1" x14ac:dyDescent="0.2">
      <c r="A98" s="45" t="s">
        <v>130</v>
      </c>
    </row>
    <row r="99" spans="1:1" ht="26" x14ac:dyDescent="0.2">
      <c r="A99" s="46" t="s">
        <v>170</v>
      </c>
    </row>
    <row r="100" spans="1:1" ht="26" x14ac:dyDescent="0.2">
      <c r="A100" s="45" t="s">
        <v>390</v>
      </c>
    </row>
    <row r="101" spans="1:1" ht="26" x14ac:dyDescent="0.2">
      <c r="A101" s="46" t="s">
        <v>120</v>
      </c>
    </row>
    <row r="102" spans="1:1" x14ac:dyDescent="0.2">
      <c r="A102" s="51">
        <v>0</v>
      </c>
    </row>
    <row r="103" spans="1:1" x14ac:dyDescent="0.2">
      <c r="A103" s="50">
        <v>0</v>
      </c>
    </row>
    <row r="104" spans="1:1" x14ac:dyDescent="0.2">
      <c r="A104" s="45" t="s">
        <v>104</v>
      </c>
    </row>
    <row r="105" spans="1:1" ht="26" x14ac:dyDescent="0.2">
      <c r="A105" s="46" t="s">
        <v>405</v>
      </c>
    </row>
    <row r="106" spans="1:1" x14ac:dyDescent="0.2">
      <c r="A106" s="51">
        <v>0</v>
      </c>
    </row>
    <row r="107" spans="1:1" ht="26" x14ac:dyDescent="0.2">
      <c r="A107" s="46" t="s">
        <v>405</v>
      </c>
    </row>
    <row r="108" spans="1:1" x14ac:dyDescent="0.2">
      <c r="A108" s="51">
        <v>0</v>
      </c>
    </row>
    <row r="109" spans="1:1" ht="26" x14ac:dyDescent="0.2">
      <c r="A109" s="46" t="s">
        <v>135</v>
      </c>
    </row>
    <row r="110" spans="1:1" ht="26" x14ac:dyDescent="0.2">
      <c r="A110" s="45" t="s">
        <v>120</v>
      </c>
    </row>
    <row r="111" spans="1:1" x14ac:dyDescent="0.2">
      <c r="A111" s="50">
        <v>0</v>
      </c>
    </row>
    <row r="112" spans="1:1" x14ac:dyDescent="0.2">
      <c r="A112" s="51">
        <v>0</v>
      </c>
    </row>
    <row r="113" spans="1:1" x14ac:dyDescent="0.2">
      <c r="A113" s="50">
        <v>0</v>
      </c>
    </row>
    <row r="114" spans="1:1" x14ac:dyDescent="0.2">
      <c r="A114" s="51">
        <v>0</v>
      </c>
    </row>
    <row r="115" spans="1:1" ht="26" x14ac:dyDescent="0.2">
      <c r="A115" s="46" t="s">
        <v>143</v>
      </c>
    </row>
    <row r="116" spans="1:1" ht="26" x14ac:dyDescent="0.2">
      <c r="A116" s="45" t="s">
        <v>143</v>
      </c>
    </row>
    <row r="117" spans="1:1" x14ac:dyDescent="0.2">
      <c r="A117" s="50">
        <v>0</v>
      </c>
    </row>
    <row r="118" spans="1:1" x14ac:dyDescent="0.2">
      <c r="A118" s="51">
        <v>0</v>
      </c>
    </row>
    <row r="119" spans="1:1" x14ac:dyDescent="0.2">
      <c r="A119" s="50">
        <v>0</v>
      </c>
    </row>
    <row r="120" spans="1:1" x14ac:dyDescent="0.2">
      <c r="A120" s="51">
        <v>0</v>
      </c>
    </row>
    <row r="121" spans="1:1" x14ac:dyDescent="0.2">
      <c r="A121" s="50">
        <v>0</v>
      </c>
    </row>
    <row r="122" spans="1:1" ht="26" x14ac:dyDescent="0.2">
      <c r="A122" s="45" t="s">
        <v>405</v>
      </c>
    </row>
    <row r="123" spans="1:1" ht="39" x14ac:dyDescent="0.2">
      <c r="A123" s="46" t="s">
        <v>231</v>
      </c>
    </row>
    <row r="124" spans="1:1" ht="26" x14ac:dyDescent="0.2">
      <c r="A124" s="45" t="s">
        <v>109</v>
      </c>
    </row>
    <row r="125" spans="1:1" ht="26" x14ac:dyDescent="0.2">
      <c r="A125" s="46" t="s">
        <v>82</v>
      </c>
    </row>
    <row r="126" spans="1:1" x14ac:dyDescent="0.2">
      <c r="A126" s="45" t="s">
        <v>89</v>
      </c>
    </row>
    <row r="127" spans="1:1" ht="26" x14ac:dyDescent="0.2">
      <c r="A127" s="46" t="s">
        <v>159</v>
      </c>
    </row>
    <row r="128" spans="1:1" x14ac:dyDescent="0.2">
      <c r="A128" s="51">
        <v>0</v>
      </c>
    </row>
    <row r="129" spans="1:1" x14ac:dyDescent="0.2">
      <c r="A129" s="50">
        <v>0</v>
      </c>
    </row>
    <row r="130" spans="1:1" ht="26" x14ac:dyDescent="0.2">
      <c r="A130" s="45" t="s">
        <v>258</v>
      </c>
    </row>
    <row r="131" spans="1:1" x14ac:dyDescent="0.2">
      <c r="A131" s="46" t="s">
        <v>63</v>
      </c>
    </row>
    <row r="132" spans="1:1" ht="26" x14ac:dyDescent="0.2">
      <c r="A132" s="45" t="s">
        <v>447</v>
      </c>
    </row>
    <row r="133" spans="1:1" x14ac:dyDescent="0.2">
      <c r="A133" s="50">
        <v>0</v>
      </c>
    </row>
    <row r="134" spans="1:1" ht="26" x14ac:dyDescent="0.2">
      <c r="A134" s="45" t="s">
        <v>219</v>
      </c>
    </row>
    <row r="135" spans="1:1" x14ac:dyDescent="0.2">
      <c r="A135" s="50">
        <v>0</v>
      </c>
    </row>
    <row r="136" spans="1:1" x14ac:dyDescent="0.2">
      <c r="A136" s="45" t="s">
        <v>63</v>
      </c>
    </row>
    <row r="137" spans="1:1" ht="39" x14ac:dyDescent="0.2">
      <c r="A137" s="46" t="s">
        <v>192</v>
      </c>
    </row>
    <row r="138" spans="1:1" x14ac:dyDescent="0.2">
      <c r="A138" s="51">
        <v>0</v>
      </c>
    </row>
    <row r="139" spans="1:1" x14ac:dyDescent="0.2">
      <c r="A139" s="50">
        <v>0</v>
      </c>
    </row>
    <row r="140" spans="1:1" ht="26" x14ac:dyDescent="0.2">
      <c r="A140" s="45" t="s">
        <v>189</v>
      </c>
    </row>
    <row r="141" spans="1:1" ht="39" x14ac:dyDescent="0.2">
      <c r="A141" s="46" t="s">
        <v>463</v>
      </c>
    </row>
    <row r="142" spans="1:1" x14ac:dyDescent="0.2">
      <c r="A142" s="51">
        <v>0</v>
      </c>
    </row>
    <row r="143" spans="1:1" x14ac:dyDescent="0.2">
      <c r="A143" s="50">
        <v>0</v>
      </c>
    </row>
    <row r="144" spans="1:1" x14ac:dyDescent="0.2">
      <c r="A144" s="45" t="s">
        <v>89</v>
      </c>
    </row>
    <row r="145" spans="1:1" ht="26" x14ac:dyDescent="0.2">
      <c r="A145" s="46" t="s">
        <v>390</v>
      </c>
    </row>
    <row r="146" spans="1:1" x14ac:dyDescent="0.2">
      <c r="A146" s="51">
        <v>0</v>
      </c>
    </row>
    <row r="147" spans="1:1" ht="26" x14ac:dyDescent="0.2">
      <c r="A147" s="46" t="s">
        <v>258</v>
      </c>
    </row>
    <row r="148" spans="1:1" x14ac:dyDescent="0.2">
      <c r="A148" s="51">
        <v>0</v>
      </c>
    </row>
    <row r="149" spans="1:1" ht="26" x14ac:dyDescent="0.2">
      <c r="A149" s="46" t="s">
        <v>219</v>
      </c>
    </row>
    <row r="150" spans="1:1" x14ac:dyDescent="0.2">
      <c r="A150" s="51">
        <v>0</v>
      </c>
    </row>
    <row r="151" spans="1:1" ht="26" x14ac:dyDescent="0.2">
      <c r="A151" s="46" t="s">
        <v>405</v>
      </c>
    </row>
    <row r="152" spans="1:1" x14ac:dyDescent="0.2">
      <c r="A152" s="52">
        <v>0</v>
      </c>
    </row>
  </sheetData>
  <pageMargins left="0.70000000000000007" right="0.70000000000000007" top="0.75" bottom="0.75" header="0.30000000000000004" footer="0.3000000000000000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8292-1F2C-4C8E-A402-FBAA001B0109}">
  <dimension ref="A3:B11"/>
  <sheetViews>
    <sheetView zoomScale="55" zoomScaleNormal="55" workbookViewId="0">
      <selection sqref="A1:XFD1048576"/>
    </sheetView>
  </sheetViews>
  <sheetFormatPr baseColWidth="10" defaultColWidth="10.83203125" defaultRowHeight="15" x14ac:dyDescent="0.2"/>
  <cols>
    <col min="1" max="1" width="137.6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46</v>
      </c>
      <c r="B4" t="s">
        <v>485</v>
      </c>
    </row>
    <row r="5" spans="1:2" x14ac:dyDescent="0.2">
      <c r="A5" t="s">
        <v>732</v>
      </c>
      <c r="B5" s="26">
        <v>0.18461538461538463</v>
      </c>
    </row>
    <row r="6" spans="1:2" x14ac:dyDescent="0.2">
      <c r="A6" t="s">
        <v>733</v>
      </c>
      <c r="B6" s="26">
        <v>0.30769230769230771</v>
      </c>
    </row>
    <row r="7" spans="1:2" x14ac:dyDescent="0.2">
      <c r="A7" t="s">
        <v>722</v>
      </c>
      <c r="B7" s="26">
        <v>0.23076923076923078</v>
      </c>
    </row>
    <row r="8" spans="1:2" x14ac:dyDescent="0.2">
      <c r="A8" t="s">
        <v>734</v>
      </c>
      <c r="B8" s="26">
        <v>0.14615384615384616</v>
      </c>
    </row>
    <row r="9" spans="1:2" x14ac:dyDescent="0.2">
      <c r="A9" t="s">
        <v>718</v>
      </c>
      <c r="B9" s="26">
        <v>8.461538461538462E-2</v>
      </c>
    </row>
    <row r="10" spans="1:2" x14ac:dyDescent="0.2">
      <c r="A10" t="s">
        <v>735</v>
      </c>
      <c r="B10" s="26">
        <v>4.6153846153846156E-2</v>
      </c>
    </row>
    <row r="11" spans="1:2" x14ac:dyDescent="0.2">
      <c r="A11" t="s">
        <v>6</v>
      </c>
      <c r="B11" s="26">
        <v>1.0000000000000002</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5D2D2-074E-4254-9F8D-9DF6461C5A1C}">
  <dimension ref="A3:B11"/>
  <sheetViews>
    <sheetView topLeftCell="B11" zoomScale="76" workbookViewId="0">
      <selection activeCell="A7" sqref="A1:XFD1048576"/>
    </sheetView>
  </sheetViews>
  <sheetFormatPr baseColWidth="10" defaultColWidth="10.83203125" defaultRowHeight="15" x14ac:dyDescent="0.2"/>
  <cols>
    <col min="1" max="1" width="137.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47</v>
      </c>
      <c r="B4" t="s">
        <v>485</v>
      </c>
    </row>
    <row r="5" spans="1:2" x14ac:dyDescent="0.2">
      <c r="A5" t="s">
        <v>726</v>
      </c>
      <c r="B5" s="26">
        <v>0.17692307692307693</v>
      </c>
    </row>
    <row r="6" spans="1:2" x14ac:dyDescent="0.2">
      <c r="A6" t="s">
        <v>727</v>
      </c>
      <c r="B6" s="26">
        <v>0.17692307692307693</v>
      </c>
    </row>
    <row r="7" spans="1:2" x14ac:dyDescent="0.2">
      <c r="A7" t="s">
        <v>728</v>
      </c>
      <c r="B7" s="26">
        <v>0.27692307692307694</v>
      </c>
    </row>
    <row r="8" spans="1:2" x14ac:dyDescent="0.2">
      <c r="A8" t="s">
        <v>729</v>
      </c>
      <c r="B8" s="26">
        <v>0.25384615384615383</v>
      </c>
    </row>
    <row r="9" spans="1:2" x14ac:dyDescent="0.2">
      <c r="A9" t="s">
        <v>730</v>
      </c>
      <c r="B9" s="26">
        <v>1.5384615384615385E-2</v>
      </c>
    </row>
    <row r="10" spans="1:2" x14ac:dyDescent="0.2">
      <c r="A10" t="s">
        <v>731</v>
      </c>
      <c r="B10" s="26">
        <v>0.1</v>
      </c>
    </row>
    <row r="11" spans="1:2" x14ac:dyDescent="0.2">
      <c r="A11" t="s">
        <v>6</v>
      </c>
      <c r="B11" s="26">
        <v>0.99999999999999989</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86A9-B78C-461A-81F8-4B48D94EC99E}">
  <dimension ref="A3:B11"/>
  <sheetViews>
    <sheetView topLeftCell="B1" zoomScale="64" workbookViewId="0">
      <selection sqref="A1:XFD1048576"/>
    </sheetView>
  </sheetViews>
  <sheetFormatPr baseColWidth="10" defaultColWidth="10.83203125" defaultRowHeight="15" x14ac:dyDescent="0.2"/>
  <cols>
    <col min="1" max="1" width="139.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48</v>
      </c>
      <c r="B4" t="s">
        <v>485</v>
      </c>
    </row>
    <row r="5" spans="1:2" x14ac:dyDescent="0.2">
      <c r="A5" t="s">
        <v>720</v>
      </c>
      <c r="B5" s="26">
        <v>0.2</v>
      </c>
    </row>
    <row r="6" spans="1:2" x14ac:dyDescent="0.2">
      <c r="A6" t="s">
        <v>721</v>
      </c>
      <c r="B6" s="26">
        <v>0.2076923076923077</v>
      </c>
    </row>
    <row r="7" spans="1:2" x14ac:dyDescent="0.2">
      <c r="A7" t="s">
        <v>722</v>
      </c>
      <c r="B7" s="26">
        <v>0.23076923076923078</v>
      </c>
    </row>
    <row r="8" spans="1:2" x14ac:dyDescent="0.2">
      <c r="A8" t="s">
        <v>723</v>
      </c>
      <c r="B8" s="26">
        <v>0.24615384615384617</v>
      </c>
    </row>
    <row r="9" spans="1:2" x14ac:dyDescent="0.2">
      <c r="A9" t="s">
        <v>724</v>
      </c>
      <c r="B9" s="26">
        <v>4.6153846153846156E-2</v>
      </c>
    </row>
    <row r="10" spans="1:2" x14ac:dyDescent="0.2">
      <c r="A10" t="s">
        <v>725</v>
      </c>
      <c r="B10" s="26">
        <v>6.9230769230769235E-2</v>
      </c>
    </row>
    <row r="11" spans="1:2" x14ac:dyDescent="0.2">
      <c r="A11" t="s">
        <v>6</v>
      </c>
      <c r="B11" s="26">
        <v>1</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AB3C0-5882-48FE-8D87-91D2E21A4AFD}">
  <dimension ref="A3:B11"/>
  <sheetViews>
    <sheetView zoomScale="56" workbookViewId="0">
      <selection sqref="A1:XFD1048576"/>
    </sheetView>
  </sheetViews>
  <sheetFormatPr baseColWidth="10" defaultColWidth="10.83203125" defaultRowHeight="15" x14ac:dyDescent="0.2"/>
  <cols>
    <col min="1" max="1" width="140.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49</v>
      </c>
      <c r="B4" t="s">
        <v>485</v>
      </c>
    </row>
    <row r="5" spans="1:2" x14ac:dyDescent="0.2">
      <c r="A5" t="s">
        <v>714</v>
      </c>
      <c r="B5" s="26">
        <v>0.23076923076923078</v>
      </c>
    </row>
    <row r="6" spans="1:2" x14ac:dyDescent="0.2">
      <c r="A6" t="s">
        <v>715</v>
      </c>
      <c r="B6" s="26">
        <v>0.13076923076923078</v>
      </c>
    </row>
    <row r="7" spans="1:2" x14ac:dyDescent="0.2">
      <c r="A7" t="s">
        <v>716</v>
      </c>
      <c r="B7" s="26">
        <v>0.13846153846153847</v>
      </c>
    </row>
    <row r="8" spans="1:2" x14ac:dyDescent="0.2">
      <c r="A8" t="s">
        <v>717</v>
      </c>
      <c r="B8" s="26">
        <v>0.17692307692307693</v>
      </c>
    </row>
    <row r="9" spans="1:2" x14ac:dyDescent="0.2">
      <c r="A9" t="s">
        <v>718</v>
      </c>
      <c r="B9" s="26">
        <v>8.461538461538462E-2</v>
      </c>
    </row>
    <row r="10" spans="1:2" x14ac:dyDescent="0.2">
      <c r="A10" t="s">
        <v>719</v>
      </c>
      <c r="B10" s="26">
        <v>0.23846153846153847</v>
      </c>
    </row>
    <row r="11" spans="1:2" x14ac:dyDescent="0.2">
      <c r="A11" t="s">
        <v>6</v>
      </c>
      <c r="B11" s="26">
        <v>1</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1F2A-E061-4A03-A18A-6BA0473252A6}">
  <dimension ref="A3:B11"/>
  <sheetViews>
    <sheetView topLeftCell="B13" zoomScale="97" workbookViewId="0">
      <selection activeCell="A12" sqref="A1:XFD1048576"/>
    </sheetView>
  </sheetViews>
  <sheetFormatPr baseColWidth="10" defaultColWidth="10.83203125" defaultRowHeight="15" x14ac:dyDescent="0.2"/>
  <cols>
    <col min="1" max="1" width="140.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50</v>
      </c>
      <c r="B4" t="s">
        <v>485</v>
      </c>
    </row>
    <row r="5" spans="1:2" x14ac:dyDescent="0.2">
      <c r="A5" t="s">
        <v>708</v>
      </c>
      <c r="B5" s="26">
        <v>0.16153846153846155</v>
      </c>
    </row>
    <row r="6" spans="1:2" x14ac:dyDescent="0.2">
      <c r="A6" t="s">
        <v>709</v>
      </c>
      <c r="B6" s="26">
        <v>0.11538461538461539</v>
      </c>
    </row>
    <row r="7" spans="1:2" x14ac:dyDescent="0.2">
      <c r="A7" t="s">
        <v>710</v>
      </c>
      <c r="B7" s="26">
        <v>9.2307692307692313E-2</v>
      </c>
    </row>
    <row r="8" spans="1:2" x14ac:dyDescent="0.2">
      <c r="A8" t="s">
        <v>711</v>
      </c>
      <c r="B8" s="26">
        <v>0.1076923076923077</v>
      </c>
    </row>
    <row r="9" spans="1:2" x14ac:dyDescent="0.2">
      <c r="A9" t="s">
        <v>712</v>
      </c>
      <c r="B9" s="26">
        <v>0.2076923076923077</v>
      </c>
    </row>
    <row r="10" spans="1:2" x14ac:dyDescent="0.2">
      <c r="A10" t="s">
        <v>713</v>
      </c>
      <c r="B10" s="26">
        <v>0.31538461538461537</v>
      </c>
    </row>
    <row r="11" spans="1:2" x14ac:dyDescent="0.2">
      <c r="A11" t="s">
        <v>6</v>
      </c>
      <c r="B11" s="26">
        <v>1</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51D87-603C-488E-8A26-F4A039CE7F27}">
  <dimension ref="A3:B11"/>
  <sheetViews>
    <sheetView topLeftCell="A7" zoomScale="70" workbookViewId="0">
      <selection activeCell="A7" sqref="A1:XFD1048576"/>
    </sheetView>
  </sheetViews>
  <sheetFormatPr baseColWidth="10" defaultColWidth="10.83203125" defaultRowHeight="15" x14ac:dyDescent="0.2"/>
  <cols>
    <col min="1" max="1" width="137.832031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51</v>
      </c>
      <c r="B4" t="s">
        <v>485</v>
      </c>
    </row>
    <row r="5" spans="1:2" x14ac:dyDescent="0.2">
      <c r="A5" t="s">
        <v>702</v>
      </c>
      <c r="B5" s="26">
        <v>4.6153846153846156E-2</v>
      </c>
    </row>
    <row r="6" spans="1:2" x14ac:dyDescent="0.2">
      <c r="A6" t="s">
        <v>703</v>
      </c>
      <c r="B6" s="26">
        <v>6.1538461538461542E-2</v>
      </c>
    </row>
    <row r="7" spans="1:2" x14ac:dyDescent="0.2">
      <c r="A7" t="s">
        <v>704</v>
      </c>
      <c r="B7" s="26">
        <v>3.0769230769230771E-2</v>
      </c>
    </row>
    <row r="8" spans="1:2" x14ac:dyDescent="0.2">
      <c r="A8" t="s">
        <v>705</v>
      </c>
      <c r="B8" s="26">
        <v>6.9230769230769235E-2</v>
      </c>
    </row>
    <row r="9" spans="1:2" x14ac:dyDescent="0.2">
      <c r="A9" t="s">
        <v>706</v>
      </c>
      <c r="B9" s="26">
        <v>0.56153846153846154</v>
      </c>
    </row>
    <row r="10" spans="1:2" x14ac:dyDescent="0.2">
      <c r="A10" t="s">
        <v>707</v>
      </c>
      <c r="B10" s="26">
        <v>0.23076923076923078</v>
      </c>
    </row>
    <row r="11" spans="1:2" x14ac:dyDescent="0.2">
      <c r="A11" t="s">
        <v>6</v>
      </c>
      <c r="B11" s="26">
        <v>1</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873F2-CC37-1247-8CAF-347D76A49473}">
  <dimension ref="A1:AJ131"/>
  <sheetViews>
    <sheetView topLeftCell="D16" zoomScale="43" zoomScaleNormal="83" zoomScaleSheetLayoutView="100" workbookViewId="0">
      <selection activeCell="AM2" sqref="AM2"/>
    </sheetView>
  </sheetViews>
  <sheetFormatPr baseColWidth="10" defaultColWidth="8.83203125" defaultRowHeight="15" x14ac:dyDescent="0.2"/>
  <cols>
    <col min="1" max="1" width="36.5" customWidth="1"/>
    <col min="2" max="6" width="34.5" bestFit="1" customWidth="1"/>
    <col min="7" max="7" width="9.1640625" customWidth="1"/>
    <col min="8" max="8" width="36.83203125" customWidth="1"/>
    <col min="10" max="10" width="36.83203125" customWidth="1"/>
    <col min="13" max="13" width="36.83203125" customWidth="1"/>
    <col min="15" max="15" width="36.83203125" customWidth="1"/>
    <col min="18" max="18" width="36.83203125" customWidth="1"/>
    <col min="20" max="20" width="36.83203125" customWidth="1"/>
    <col min="23" max="23" width="36.83203125" customWidth="1"/>
    <col min="25" max="25" width="36.83203125" customWidth="1"/>
    <col min="28" max="28" width="36.83203125" customWidth="1"/>
    <col min="30" max="30" width="36.83203125" customWidth="1"/>
    <col min="33" max="33" width="36.83203125" customWidth="1"/>
    <col min="35" max="35" width="36.83203125" customWidth="1"/>
  </cols>
  <sheetData>
    <row r="1" spans="1:36" s="43" customFormat="1" ht="52" x14ac:dyDescent="0.2">
      <c r="A1" s="44" t="s">
        <v>46</v>
      </c>
      <c r="B1" s="44" t="s">
        <v>47</v>
      </c>
      <c r="C1" s="44" t="s">
        <v>48</v>
      </c>
      <c r="D1" s="44" t="s">
        <v>49</v>
      </c>
      <c r="E1" s="44" t="s">
        <v>50</v>
      </c>
      <c r="F1" s="44" t="s">
        <v>51</v>
      </c>
      <c r="H1" s="44" t="s">
        <v>46</v>
      </c>
      <c r="I1" s="43" t="s">
        <v>485</v>
      </c>
      <c r="J1" s="44" t="str">
        <f>H1</f>
        <v>Classez les différentes prises en charge dans l’ordre que vous recommanderiez pour une patiente atteinte du syndrome de Lacomme : [Premier choix ]</v>
      </c>
      <c r="K1" s="43" t="s">
        <v>575</v>
      </c>
      <c r="M1" s="44" t="s">
        <v>47</v>
      </c>
      <c r="N1" s="43" t="s">
        <v>485</v>
      </c>
      <c r="O1" s="44" t="str">
        <f>M1</f>
        <v>Classez les différentes prises en charge dans l’ordre que vous recommanderiez pour une patiente atteinte du syndrome de Lacomme : [Second choix ]</v>
      </c>
      <c r="P1" s="43" t="s">
        <v>575</v>
      </c>
      <c r="R1" s="44" t="s">
        <v>48</v>
      </c>
      <c r="S1" s="43" t="s">
        <v>485</v>
      </c>
      <c r="T1" s="44" t="str">
        <f>R1</f>
        <v>Classez les différentes prises en charge dans l’ordre que vous recommanderiez pour une patiente atteinte du syndrome de Lacomme : [Troisième choix ]</v>
      </c>
      <c r="U1" s="43" t="s">
        <v>575</v>
      </c>
      <c r="W1" s="44" t="s">
        <v>49</v>
      </c>
      <c r="X1" s="43" t="s">
        <v>485</v>
      </c>
      <c r="Y1" s="44" t="str">
        <f>W1</f>
        <v>Classez les différentes prises en charge dans l’ordre que vous recommanderiez pour une patiente atteinte du syndrome de Lacomme : [Quatrième choix ]</v>
      </c>
      <c r="Z1" s="43" t="s">
        <v>575</v>
      </c>
      <c r="AB1" s="44" t="s">
        <v>50</v>
      </c>
      <c r="AC1" s="43" t="s">
        <v>485</v>
      </c>
      <c r="AD1" s="44" t="str">
        <f>AB1</f>
        <v>Classez les différentes prises en charge dans l’ordre que vous recommanderiez pour une patiente atteinte du syndrome de Lacomme : [Cinquième choix ]</v>
      </c>
      <c r="AE1" s="43" t="s">
        <v>575</v>
      </c>
      <c r="AG1" s="44" t="s">
        <v>51</v>
      </c>
      <c r="AH1" s="43" t="s">
        <v>485</v>
      </c>
      <c r="AI1" s="44" t="str">
        <f>AG1</f>
        <v>Classez les différentes prises en charge dans l’ordre que vous recommanderiez pour une patiente atteinte du syndrome de Lacomme : [Sixième choix ]</v>
      </c>
      <c r="AJ1" s="43" t="s">
        <v>575</v>
      </c>
    </row>
    <row r="2" spans="1:36" ht="27" x14ac:dyDescent="0.2">
      <c r="A2" s="9" t="s">
        <v>64</v>
      </c>
      <c r="B2" s="9" t="s">
        <v>65</v>
      </c>
      <c r="C2" s="9" t="s">
        <v>66</v>
      </c>
      <c r="D2" s="9" t="s">
        <v>67</v>
      </c>
      <c r="E2" s="9" t="s">
        <v>68</v>
      </c>
      <c r="F2" s="9" t="s">
        <v>69</v>
      </c>
      <c r="G2" s="16" t="s">
        <v>573</v>
      </c>
      <c r="H2" s="9" t="s">
        <v>64</v>
      </c>
      <c r="I2">
        <f>COUNTIF($A$2:$A$131,"*Exercices/Etirements*")</f>
        <v>30</v>
      </c>
      <c r="J2" s="54" t="str">
        <f t="shared" ref="J2:J7" si="0">H2&amp;" "&amp;"(n="&amp;I2&amp;")"</f>
        <v>Exercices/Etirements (n=30)</v>
      </c>
      <c r="K2" s="25">
        <f t="shared" ref="K2:K7" si="1">I2/SUM(I$2:I$7)</f>
        <v>0.23076923076923078</v>
      </c>
      <c r="L2" s="25"/>
      <c r="M2" s="9" t="s">
        <v>64</v>
      </c>
      <c r="N2">
        <f>COUNTIF($B$2:$B$131,"*Exercices/Etirements*")</f>
        <v>36</v>
      </c>
      <c r="O2" s="54" t="str">
        <f t="shared" ref="O2:O7" si="2">M2&amp;" "&amp;"(n="&amp;N2&amp;")"</f>
        <v>Exercices/Etirements (n=36)</v>
      </c>
      <c r="P2" s="25">
        <f t="shared" ref="P2:P7" si="3">N2/SUM(N$2:N$7)</f>
        <v>0.27692307692307694</v>
      </c>
      <c r="Q2" s="25"/>
      <c r="R2" s="9" t="s">
        <v>64</v>
      </c>
      <c r="S2">
        <f>COUNTIF($C$2:$C$131,"*Exercices/Etirements*")</f>
        <v>30</v>
      </c>
      <c r="T2" s="54" t="str">
        <f t="shared" ref="T2:T7" si="4">R2&amp;" "&amp;"(n="&amp;S2&amp;")"</f>
        <v>Exercices/Etirements (n=30)</v>
      </c>
      <c r="U2" s="25">
        <f t="shared" ref="U2:U7" si="5">S2/SUM(S$2:S$7)</f>
        <v>0.23076923076923078</v>
      </c>
      <c r="V2" s="25"/>
      <c r="W2" s="9" t="s">
        <v>64</v>
      </c>
      <c r="X2">
        <f>COUNTIF($D$2:$D$131,"*Exercices/Etirements*")</f>
        <v>18</v>
      </c>
      <c r="Y2" s="54" t="str">
        <f t="shared" ref="Y2:Y7" si="6">W2&amp;" "&amp;"(n="&amp;X2&amp;")"</f>
        <v>Exercices/Etirements (n=18)</v>
      </c>
      <c r="Z2" s="25">
        <f t="shared" ref="Z2:Z7" si="7">X2/SUM(X$2:X$7)</f>
        <v>0.13846153846153847</v>
      </c>
      <c r="AA2" s="25"/>
      <c r="AB2" s="9" t="s">
        <v>64</v>
      </c>
      <c r="AC2">
        <f>COUNTIF($E$2:$E$131,"*Exercices/Etirements*")</f>
        <v>12</v>
      </c>
      <c r="AD2" s="54" t="str">
        <f t="shared" ref="AD2:AD7" si="8">AB2&amp;" "&amp;"(n="&amp;AC2&amp;")"</f>
        <v>Exercices/Etirements (n=12)</v>
      </c>
      <c r="AE2" s="25">
        <f t="shared" ref="AE2:AE7" si="9">AC2/SUM(AC$2:AC$7)</f>
        <v>9.2307692307692313E-2</v>
      </c>
      <c r="AF2" s="25"/>
      <c r="AG2" s="9" t="s">
        <v>64</v>
      </c>
      <c r="AH2">
        <f>COUNTIF($F$2:$F$131,"*Exercices/Etirements*")</f>
        <v>4</v>
      </c>
      <c r="AI2" s="54" t="str">
        <f t="shared" ref="AI2:AI7" si="10">AG2&amp;" "&amp;"(n="&amp;AH2&amp;")"</f>
        <v>Exercices/Etirements (n=4)</v>
      </c>
      <c r="AJ2" s="25">
        <f t="shared" ref="AJ2:AJ7" si="11">AH2/SUM(AH$2:AH$7)</f>
        <v>3.0769230769230771E-2</v>
      </c>
    </row>
    <row r="3" spans="1:36" ht="27" x14ac:dyDescent="0.2">
      <c r="A3" s="10" t="s">
        <v>66</v>
      </c>
      <c r="B3" s="10" t="s">
        <v>64</v>
      </c>
      <c r="C3" s="10" t="s">
        <v>68</v>
      </c>
      <c r="D3" s="10" t="s">
        <v>65</v>
      </c>
      <c r="E3" s="10" t="s">
        <v>67</v>
      </c>
      <c r="F3" s="10" t="s">
        <v>69</v>
      </c>
      <c r="G3" s="17" t="s">
        <v>573</v>
      </c>
      <c r="H3" s="9" t="s">
        <v>68</v>
      </c>
      <c r="I3">
        <f>COUNTIF($A$2:$A$131,"*Ceinture de maintien/Support pelvien*")</f>
        <v>24</v>
      </c>
      <c r="J3" s="54" t="str">
        <f t="shared" si="0"/>
        <v>Ceinture de maintien/Support pelvien (n=24)</v>
      </c>
      <c r="K3" s="25">
        <f t="shared" si="1"/>
        <v>0.18461538461538463</v>
      </c>
      <c r="L3" s="25"/>
      <c r="M3" s="9" t="s">
        <v>68</v>
      </c>
      <c r="N3">
        <f>COUNTIF($B$2:$B$131,"*Ceinture de maintien/Support pelvien*")</f>
        <v>23</v>
      </c>
      <c r="O3" s="54" t="str">
        <f t="shared" si="2"/>
        <v>Ceinture de maintien/Support pelvien (n=23)</v>
      </c>
      <c r="P3" s="25">
        <f t="shared" si="3"/>
        <v>0.17692307692307693</v>
      </c>
      <c r="Q3" s="25"/>
      <c r="R3" s="9" t="s">
        <v>68</v>
      </c>
      <c r="S3">
        <f>COUNTIF($C$2:$C$131,"*Ceinture de maintien/Support pelvien*")</f>
        <v>26</v>
      </c>
      <c r="T3" s="54" t="str">
        <f t="shared" si="4"/>
        <v>Ceinture de maintien/Support pelvien (n=26)</v>
      </c>
      <c r="U3" s="25">
        <f t="shared" si="5"/>
        <v>0.2</v>
      </c>
      <c r="V3" s="25"/>
      <c r="W3" s="9" t="s">
        <v>68</v>
      </c>
      <c r="X3">
        <f>COUNTIF($D$2:$D$131,"*Ceinture de maintien/Support pelvien*")</f>
        <v>30</v>
      </c>
      <c r="Y3" s="54" t="str">
        <f t="shared" si="6"/>
        <v>Ceinture de maintien/Support pelvien (n=30)</v>
      </c>
      <c r="Z3" s="25">
        <f t="shared" si="7"/>
        <v>0.23076923076923078</v>
      </c>
      <c r="AA3" s="25"/>
      <c r="AB3" s="9" t="s">
        <v>68</v>
      </c>
      <c r="AC3">
        <f>COUNTIF($E$2:$E$131,"*Ceinture de maintien/Support pelvien*")</f>
        <v>21</v>
      </c>
      <c r="AD3" s="54" t="str">
        <f t="shared" si="8"/>
        <v>Ceinture de maintien/Support pelvien (n=21)</v>
      </c>
      <c r="AE3" s="25">
        <f t="shared" si="9"/>
        <v>0.16153846153846155</v>
      </c>
      <c r="AF3" s="25"/>
      <c r="AG3" s="9" t="s">
        <v>68</v>
      </c>
      <c r="AH3">
        <f>COUNTIF($F$2:$F$131,"*Ceinture de maintien/Support pelvien*")</f>
        <v>6</v>
      </c>
      <c r="AI3" s="54" t="str">
        <f t="shared" si="10"/>
        <v>Ceinture de maintien/Support pelvien (n=6)</v>
      </c>
      <c r="AJ3" s="25">
        <f t="shared" si="11"/>
        <v>4.6153846153846156E-2</v>
      </c>
    </row>
    <row r="4" spans="1:36" ht="32" x14ac:dyDescent="0.2">
      <c r="A4" s="9" t="s">
        <v>66</v>
      </c>
      <c r="B4" s="9" t="s">
        <v>65</v>
      </c>
      <c r="C4" s="9" t="s">
        <v>64</v>
      </c>
      <c r="D4" s="9" t="s">
        <v>68</v>
      </c>
      <c r="E4" s="9" t="s">
        <v>69</v>
      </c>
      <c r="F4" s="9" t="s">
        <v>67</v>
      </c>
      <c r="G4" s="16" t="s">
        <v>573</v>
      </c>
      <c r="H4" s="9" t="s">
        <v>67</v>
      </c>
      <c r="I4">
        <f>COUNTIF($A$2:$A$131,"*Traitements médicamenteux (antalgiques/analgésiques)*")</f>
        <v>6</v>
      </c>
      <c r="J4" s="54" t="str">
        <f t="shared" si="0"/>
        <v>Traitements médicamenteux (antalgiques/analgésiques) (n=6)</v>
      </c>
      <c r="K4" s="25">
        <f t="shared" si="1"/>
        <v>4.6153846153846156E-2</v>
      </c>
      <c r="L4" s="25"/>
      <c r="M4" s="9" t="s">
        <v>67</v>
      </c>
      <c r="N4">
        <f>COUNTIF($B$2:$B$131,"*Traitements médicamenteux (antalgiques/analgésiques)*")</f>
        <v>13</v>
      </c>
      <c r="O4" s="54" t="str">
        <f t="shared" si="2"/>
        <v>Traitements médicamenteux (antalgiques/analgésiques) (n=13)</v>
      </c>
      <c r="P4" s="25">
        <f t="shared" si="3"/>
        <v>0.1</v>
      </c>
      <c r="Q4" s="25"/>
      <c r="R4" s="9" t="s">
        <v>67</v>
      </c>
      <c r="S4">
        <f>COUNTIF($C$2:$C$131,"*Traitements médicamenteux (antalgiques/analgésiques)*")</f>
        <v>9</v>
      </c>
      <c r="T4" s="54" t="str">
        <f t="shared" si="4"/>
        <v>Traitements médicamenteux (antalgiques/analgésiques) (n=9)</v>
      </c>
      <c r="U4" s="25">
        <f t="shared" si="5"/>
        <v>6.9230769230769235E-2</v>
      </c>
      <c r="V4" s="25"/>
      <c r="W4" s="9" t="s">
        <v>67</v>
      </c>
      <c r="X4">
        <f>COUNTIF($D$2:$D$131,"*Traitements médicamenteux (antalgiques/analgésiques)*")</f>
        <v>31</v>
      </c>
      <c r="Y4" s="54" t="str">
        <f t="shared" si="6"/>
        <v>Traitements médicamenteux (antalgiques/analgésiques) (n=31)</v>
      </c>
      <c r="Z4" s="25">
        <f t="shared" si="7"/>
        <v>0.23846153846153847</v>
      </c>
      <c r="AA4" s="25"/>
      <c r="AB4" s="9" t="s">
        <v>67</v>
      </c>
      <c r="AC4">
        <f>COUNTIF($E$2:$E$131,"*Traitements médicamenteux (antalgiques/analgésiques)*")</f>
        <v>41</v>
      </c>
      <c r="AD4" s="54" t="str">
        <f t="shared" si="8"/>
        <v>Traitements médicamenteux (antalgiques/analgésiques) (n=41)</v>
      </c>
      <c r="AE4" s="25">
        <f t="shared" si="9"/>
        <v>0.31538461538461537</v>
      </c>
      <c r="AF4" s="25"/>
      <c r="AG4" s="9" t="s">
        <v>67</v>
      </c>
      <c r="AH4">
        <f>COUNTIF($F$2:$F$131,"*Traitements médicamenteux (antalgiques/analgésiques)*")</f>
        <v>30</v>
      </c>
      <c r="AI4" s="54" t="str">
        <f t="shared" si="10"/>
        <v>Traitements médicamenteux (antalgiques/analgésiques) (n=30)</v>
      </c>
      <c r="AJ4" s="25">
        <f t="shared" si="11"/>
        <v>0.23076923076923078</v>
      </c>
    </row>
    <row r="5" spans="1:36" ht="27" x14ac:dyDescent="0.2">
      <c r="A5" s="9" t="s">
        <v>66</v>
      </c>
      <c r="B5" s="9" t="s">
        <v>64</v>
      </c>
      <c r="C5" s="9" t="s">
        <v>68</v>
      </c>
      <c r="D5" s="9" t="s">
        <v>65</v>
      </c>
      <c r="E5" s="9" t="s">
        <v>69</v>
      </c>
      <c r="F5" s="9" t="s">
        <v>67</v>
      </c>
      <c r="G5" s="16" t="s">
        <v>573</v>
      </c>
      <c r="H5" s="10" t="s">
        <v>66</v>
      </c>
      <c r="I5">
        <f>COUNTIF($A$2:$A$131,"*Conseils posturaux*")</f>
        <v>40</v>
      </c>
      <c r="J5" s="54" t="str">
        <f t="shared" si="0"/>
        <v>Conseils posturaux (n=40)</v>
      </c>
      <c r="K5" s="25">
        <f t="shared" si="1"/>
        <v>0.30769230769230771</v>
      </c>
      <c r="L5" s="25"/>
      <c r="M5" s="10" t="s">
        <v>66</v>
      </c>
      <c r="N5">
        <f>COUNTIF($B$2:$B$131,"*Conseils posturaux*")</f>
        <v>23</v>
      </c>
      <c r="O5" s="54" t="str">
        <f t="shared" si="2"/>
        <v>Conseils posturaux (n=23)</v>
      </c>
      <c r="P5" s="25">
        <f t="shared" si="3"/>
        <v>0.17692307692307693</v>
      </c>
      <c r="Q5" s="25"/>
      <c r="R5" s="10" t="s">
        <v>66</v>
      </c>
      <c r="S5">
        <f>COUNTIF($C$2:$C$131,"*Conseils posturaux*")</f>
        <v>27</v>
      </c>
      <c r="T5" s="54" t="str">
        <f t="shared" si="4"/>
        <v>Conseils posturaux (n=27)</v>
      </c>
      <c r="U5" s="25">
        <f t="shared" si="5"/>
        <v>0.2076923076923077</v>
      </c>
      <c r="V5" s="25"/>
      <c r="W5" s="10" t="s">
        <v>66</v>
      </c>
      <c r="X5">
        <f>COUNTIF($D$2:$D$131,"*Conseils posturaux*")</f>
        <v>17</v>
      </c>
      <c r="Y5" s="54" t="str">
        <f t="shared" si="6"/>
        <v>Conseils posturaux (n=17)</v>
      </c>
      <c r="Z5" s="25">
        <f t="shared" si="7"/>
        <v>0.13076923076923078</v>
      </c>
      <c r="AA5" s="25"/>
      <c r="AB5" s="10" t="s">
        <v>66</v>
      </c>
      <c r="AC5">
        <f>COUNTIF($E$2:$E$131,"*Conseils posturaux*")</f>
        <v>15</v>
      </c>
      <c r="AD5" s="54" t="str">
        <f t="shared" si="8"/>
        <v>Conseils posturaux (n=15)</v>
      </c>
      <c r="AE5" s="25">
        <f t="shared" si="9"/>
        <v>0.11538461538461539</v>
      </c>
      <c r="AF5" s="25"/>
      <c r="AG5" s="10" t="s">
        <v>66</v>
      </c>
      <c r="AH5">
        <f>COUNTIF($F$2:$F$131,"*Conseils posturaux*")</f>
        <v>8</v>
      </c>
      <c r="AI5" s="54" t="str">
        <f t="shared" si="10"/>
        <v>Conseils posturaux (n=8)</v>
      </c>
      <c r="AJ5" s="25">
        <f t="shared" si="11"/>
        <v>6.1538461538461542E-2</v>
      </c>
    </row>
    <row r="6" spans="1:36" ht="27" x14ac:dyDescent="0.2">
      <c r="A6" s="10" t="s">
        <v>64</v>
      </c>
      <c r="B6" s="10" t="s">
        <v>68</v>
      </c>
      <c r="C6" s="10" t="s">
        <v>65</v>
      </c>
      <c r="D6" s="10" t="s">
        <v>66</v>
      </c>
      <c r="E6" s="10" t="s">
        <v>69</v>
      </c>
      <c r="F6" s="10" t="s">
        <v>67</v>
      </c>
      <c r="G6" s="17" t="s">
        <v>573</v>
      </c>
      <c r="H6" s="10" t="s">
        <v>65</v>
      </c>
      <c r="I6">
        <f>COUNTIF($A$2:$A$131,"*Ostéopathie*")</f>
        <v>19</v>
      </c>
      <c r="J6" s="54" t="str">
        <f t="shared" si="0"/>
        <v>Ostéopathie (n=19)</v>
      </c>
      <c r="K6" s="25">
        <f t="shared" si="1"/>
        <v>0.14615384615384616</v>
      </c>
      <c r="L6" s="25"/>
      <c r="M6" s="10" t="s">
        <v>65</v>
      </c>
      <c r="N6">
        <f>COUNTIF($B$2:$B$131,"*Ostéopathie*")</f>
        <v>33</v>
      </c>
      <c r="O6" s="54" t="str">
        <f t="shared" si="2"/>
        <v>Ostéopathie (n=33)</v>
      </c>
      <c r="P6" s="25">
        <f t="shared" si="3"/>
        <v>0.25384615384615383</v>
      </c>
      <c r="Q6" s="25"/>
      <c r="R6" s="10" t="s">
        <v>65</v>
      </c>
      <c r="S6">
        <f>COUNTIF($C$2:$C$131,"*Ostéopathie*")</f>
        <v>32</v>
      </c>
      <c r="T6" s="54" t="str">
        <f t="shared" si="4"/>
        <v>Ostéopathie (n=32)</v>
      </c>
      <c r="U6" s="25">
        <f t="shared" si="5"/>
        <v>0.24615384615384617</v>
      </c>
      <c r="V6" s="25"/>
      <c r="W6" s="10" t="s">
        <v>65</v>
      </c>
      <c r="X6">
        <f>COUNTIF($D$2:$D$131,"*Ostéopathie*")</f>
        <v>23</v>
      </c>
      <c r="Y6" s="54" t="str">
        <f t="shared" si="6"/>
        <v>Ostéopathie (n=23)</v>
      </c>
      <c r="Z6" s="25">
        <f t="shared" si="7"/>
        <v>0.17692307692307693</v>
      </c>
      <c r="AA6" s="25"/>
      <c r="AB6" s="10" t="s">
        <v>65</v>
      </c>
      <c r="AC6">
        <f>COUNTIF($E$2:$E$131,"*Ostéopathie*")</f>
        <v>14</v>
      </c>
      <c r="AD6" s="54" t="str">
        <f t="shared" si="8"/>
        <v>Ostéopathie (n=14)</v>
      </c>
      <c r="AE6" s="25">
        <f t="shared" si="9"/>
        <v>0.1076923076923077</v>
      </c>
      <c r="AF6" s="25"/>
      <c r="AG6" s="10" t="s">
        <v>65</v>
      </c>
      <c r="AH6">
        <f>COUNTIF($F$2:$F$131,"*Ostéopathie*")</f>
        <v>9</v>
      </c>
      <c r="AI6" s="54" t="str">
        <f t="shared" si="10"/>
        <v>Ostéopathie (n=9)</v>
      </c>
      <c r="AJ6" s="25">
        <f t="shared" si="11"/>
        <v>6.9230769230769235E-2</v>
      </c>
    </row>
    <row r="7" spans="1:36" ht="27" x14ac:dyDescent="0.2">
      <c r="A7" s="9" t="s">
        <v>66</v>
      </c>
      <c r="B7" s="9" t="s">
        <v>64</v>
      </c>
      <c r="C7" s="9" t="s">
        <v>68</v>
      </c>
      <c r="D7" s="9" t="s">
        <v>65</v>
      </c>
      <c r="E7" s="9" t="s">
        <v>67</v>
      </c>
      <c r="F7" s="9" t="s">
        <v>69</v>
      </c>
      <c r="G7" s="16" t="s">
        <v>573</v>
      </c>
      <c r="H7" s="10" t="s">
        <v>69</v>
      </c>
      <c r="I7">
        <f>COUNTIF($A$2:$A$131,"*Repos/Limitation de mouvement*")</f>
        <v>11</v>
      </c>
      <c r="J7" s="54" t="str">
        <f t="shared" si="0"/>
        <v>Repos/Limitation de mouvement (n=11)</v>
      </c>
      <c r="K7" s="25">
        <f t="shared" si="1"/>
        <v>8.461538461538462E-2</v>
      </c>
      <c r="L7" s="25"/>
      <c r="M7" s="10" t="s">
        <v>69</v>
      </c>
      <c r="N7">
        <f>COUNTIF($B$2:$B$131,"*Repos/Limitation de mouvement*")</f>
        <v>2</v>
      </c>
      <c r="O7" s="54" t="str">
        <f t="shared" si="2"/>
        <v>Repos/Limitation de mouvement (n=2)</v>
      </c>
      <c r="P7" s="25">
        <f t="shared" si="3"/>
        <v>1.5384615384615385E-2</v>
      </c>
      <c r="Q7" s="25"/>
      <c r="R7" s="10" t="s">
        <v>69</v>
      </c>
      <c r="S7">
        <f>COUNTIF($C$2:$C$131,"*Repos/Limitation de mouvement*")</f>
        <v>6</v>
      </c>
      <c r="T7" s="54" t="str">
        <f t="shared" si="4"/>
        <v>Repos/Limitation de mouvement (n=6)</v>
      </c>
      <c r="U7" s="25">
        <f t="shared" si="5"/>
        <v>4.6153846153846156E-2</v>
      </c>
      <c r="V7" s="25"/>
      <c r="W7" s="10" t="s">
        <v>69</v>
      </c>
      <c r="X7">
        <f>COUNTIF($D$2:$D$131,"*Repos/Limitation de mouvement*")</f>
        <v>11</v>
      </c>
      <c r="Y7" s="54" t="str">
        <f t="shared" si="6"/>
        <v>Repos/Limitation de mouvement (n=11)</v>
      </c>
      <c r="Z7" s="25">
        <f t="shared" si="7"/>
        <v>8.461538461538462E-2</v>
      </c>
      <c r="AA7" s="25"/>
      <c r="AB7" s="10" t="s">
        <v>69</v>
      </c>
      <c r="AC7">
        <f>COUNTIF($E$2:$E$131,"*Repos/Limitation de mouvement*")</f>
        <v>27</v>
      </c>
      <c r="AD7" s="54" t="str">
        <f t="shared" si="8"/>
        <v>Repos/Limitation de mouvement (n=27)</v>
      </c>
      <c r="AE7" s="25">
        <f t="shared" si="9"/>
        <v>0.2076923076923077</v>
      </c>
      <c r="AF7" s="25"/>
      <c r="AG7" s="10" t="s">
        <v>69</v>
      </c>
      <c r="AH7">
        <f>COUNTIF($F$2:$F$131,"*Repos/Limitation de mouvement*")</f>
        <v>73</v>
      </c>
      <c r="AI7" s="54" t="str">
        <f t="shared" si="10"/>
        <v>Repos/Limitation de mouvement (n=73)</v>
      </c>
      <c r="AJ7" s="25">
        <f t="shared" si="11"/>
        <v>0.56153846153846154</v>
      </c>
    </row>
    <row r="8" spans="1:36" ht="27" x14ac:dyDescent="0.2">
      <c r="A8" s="10" t="s">
        <v>66</v>
      </c>
      <c r="B8" s="10" t="s">
        <v>64</v>
      </c>
      <c r="C8" s="10" t="s">
        <v>65</v>
      </c>
      <c r="D8" s="10" t="s">
        <v>67</v>
      </c>
      <c r="E8" s="10" t="s">
        <v>68</v>
      </c>
      <c r="F8" s="10" t="s">
        <v>69</v>
      </c>
      <c r="G8" s="17" t="s">
        <v>573</v>
      </c>
    </row>
    <row r="9" spans="1:36" ht="27" x14ac:dyDescent="0.2">
      <c r="A9" s="9" t="s">
        <v>66</v>
      </c>
      <c r="B9" s="9" t="s">
        <v>64</v>
      </c>
      <c r="C9" s="9" t="s">
        <v>68</v>
      </c>
      <c r="D9" s="9" t="s">
        <v>65</v>
      </c>
      <c r="E9" s="9" t="s">
        <v>67</v>
      </c>
      <c r="F9" s="9" t="s">
        <v>69</v>
      </c>
      <c r="G9" s="16" t="s">
        <v>573</v>
      </c>
      <c r="I9">
        <f>SUM(I2:I7)</f>
        <v>130</v>
      </c>
      <c r="K9" s="25">
        <f>SUM(K2:K7)</f>
        <v>1</v>
      </c>
      <c r="L9" s="25"/>
      <c r="N9">
        <f>SUM(N2:N7)</f>
        <v>130</v>
      </c>
      <c r="P9" s="25">
        <f>SUM(P2:P7)</f>
        <v>1</v>
      </c>
      <c r="Q9" s="25"/>
      <c r="S9">
        <f>SUM(S2:S7)</f>
        <v>130</v>
      </c>
      <c r="U9" s="25">
        <f>SUM(U2:U7)</f>
        <v>1</v>
      </c>
      <c r="V9" s="25"/>
      <c r="X9">
        <f>SUM(X2:X7)</f>
        <v>130</v>
      </c>
      <c r="Z9" s="25">
        <f>SUM(Z2:Z7)</f>
        <v>1</v>
      </c>
      <c r="AA9" s="25"/>
      <c r="AC9">
        <f>SUM(AC2:AC7)</f>
        <v>130</v>
      </c>
      <c r="AE9" s="25">
        <f>SUM(AE2:AE7)</f>
        <v>1</v>
      </c>
      <c r="AF9" s="25"/>
      <c r="AH9">
        <f>SUM(AH2:AH7)</f>
        <v>130</v>
      </c>
      <c r="AJ9" s="25">
        <f>SUM(AJ2:AJ7)</f>
        <v>1</v>
      </c>
    </row>
    <row r="10" spans="1:36" ht="27" x14ac:dyDescent="0.2">
      <c r="A10" s="10" t="s">
        <v>69</v>
      </c>
      <c r="B10" s="10" t="s">
        <v>68</v>
      </c>
      <c r="C10" s="10" t="s">
        <v>66</v>
      </c>
      <c r="D10" s="10" t="s">
        <v>65</v>
      </c>
      <c r="E10" s="10" t="s">
        <v>64</v>
      </c>
      <c r="F10" s="10" t="s">
        <v>67</v>
      </c>
      <c r="G10" s="17" t="s">
        <v>573</v>
      </c>
    </row>
    <row r="11" spans="1:36" ht="27" x14ac:dyDescent="0.2">
      <c r="A11" s="9" t="s">
        <v>64</v>
      </c>
      <c r="B11" s="9" t="s">
        <v>66</v>
      </c>
      <c r="C11" s="9" t="s">
        <v>68</v>
      </c>
      <c r="D11" s="9" t="s">
        <v>65</v>
      </c>
      <c r="E11" s="9" t="s">
        <v>67</v>
      </c>
      <c r="F11" s="9" t="s">
        <v>69</v>
      </c>
      <c r="G11" s="16" t="s">
        <v>573</v>
      </c>
    </row>
    <row r="12" spans="1:36" ht="27" x14ac:dyDescent="0.2">
      <c r="A12" s="10" t="s">
        <v>69</v>
      </c>
      <c r="B12" s="10" t="s">
        <v>66</v>
      </c>
      <c r="C12" s="10" t="s">
        <v>64</v>
      </c>
      <c r="D12" s="10" t="s">
        <v>68</v>
      </c>
      <c r="E12" s="10" t="s">
        <v>67</v>
      </c>
      <c r="F12" s="10" t="s">
        <v>65</v>
      </c>
      <c r="G12" s="17" t="s">
        <v>573</v>
      </c>
    </row>
    <row r="13" spans="1:36" ht="27" x14ac:dyDescent="0.2">
      <c r="A13" s="9" t="s">
        <v>68</v>
      </c>
      <c r="B13" s="9" t="s">
        <v>66</v>
      </c>
      <c r="C13" s="9" t="s">
        <v>65</v>
      </c>
      <c r="D13" s="9" t="s">
        <v>64</v>
      </c>
      <c r="E13" s="9" t="s">
        <v>67</v>
      </c>
      <c r="F13" s="9" t="s">
        <v>69</v>
      </c>
      <c r="G13" s="16" t="s">
        <v>573</v>
      </c>
    </row>
    <row r="14" spans="1:36" ht="27" x14ac:dyDescent="0.2">
      <c r="A14" s="10" t="s">
        <v>64</v>
      </c>
      <c r="B14" s="10" t="s">
        <v>65</v>
      </c>
      <c r="C14" s="10" t="s">
        <v>68</v>
      </c>
      <c r="D14" s="10" t="s">
        <v>66</v>
      </c>
      <c r="E14" s="10" t="s">
        <v>69</v>
      </c>
      <c r="F14" s="10" t="s">
        <v>67</v>
      </c>
      <c r="G14" s="17" t="s">
        <v>573</v>
      </c>
    </row>
    <row r="15" spans="1:36" ht="27" x14ac:dyDescent="0.2">
      <c r="A15" s="9" t="s">
        <v>65</v>
      </c>
      <c r="B15" s="9" t="s">
        <v>66</v>
      </c>
      <c r="C15" s="9" t="s">
        <v>67</v>
      </c>
      <c r="D15" s="9" t="s">
        <v>64</v>
      </c>
      <c r="E15" s="9" t="s">
        <v>68</v>
      </c>
      <c r="F15" s="9" t="s">
        <v>69</v>
      </c>
      <c r="G15" s="16" t="s">
        <v>573</v>
      </c>
    </row>
    <row r="16" spans="1:36" ht="27" x14ac:dyDescent="0.2">
      <c r="A16" s="9" t="s">
        <v>66</v>
      </c>
      <c r="B16" s="9" t="s">
        <v>67</v>
      </c>
      <c r="C16" s="9" t="s">
        <v>65</v>
      </c>
      <c r="D16" s="9" t="s">
        <v>68</v>
      </c>
      <c r="E16" s="9" t="s">
        <v>69</v>
      </c>
      <c r="F16" s="9" t="s">
        <v>64</v>
      </c>
      <c r="G16" s="16" t="s">
        <v>573</v>
      </c>
    </row>
    <row r="17" spans="1:7" ht="27" x14ac:dyDescent="0.2">
      <c r="A17" s="10" t="s">
        <v>64</v>
      </c>
      <c r="B17" s="10" t="s">
        <v>66</v>
      </c>
      <c r="C17" s="10" t="s">
        <v>68</v>
      </c>
      <c r="D17" s="10" t="s">
        <v>67</v>
      </c>
      <c r="E17" s="10" t="s">
        <v>65</v>
      </c>
      <c r="F17" s="10" t="s">
        <v>69</v>
      </c>
      <c r="G17" s="17" t="s">
        <v>573</v>
      </c>
    </row>
    <row r="18" spans="1:7" ht="27" x14ac:dyDescent="0.2">
      <c r="A18" s="9" t="s">
        <v>69</v>
      </c>
      <c r="B18" s="9" t="s">
        <v>64</v>
      </c>
      <c r="C18" s="9" t="s">
        <v>66</v>
      </c>
      <c r="D18" s="9" t="s">
        <v>65</v>
      </c>
      <c r="E18" s="9" t="s">
        <v>68</v>
      </c>
      <c r="F18" s="9" t="s">
        <v>67</v>
      </c>
      <c r="G18" s="16" t="s">
        <v>573</v>
      </c>
    </row>
    <row r="19" spans="1:7" ht="27" x14ac:dyDescent="0.2">
      <c r="A19" s="9" t="s">
        <v>66</v>
      </c>
      <c r="B19" s="9" t="s">
        <v>68</v>
      </c>
      <c r="C19" s="9" t="s">
        <v>65</v>
      </c>
      <c r="D19" s="9" t="s">
        <v>67</v>
      </c>
      <c r="E19" s="9" t="s">
        <v>64</v>
      </c>
      <c r="F19" s="9" t="s">
        <v>69</v>
      </c>
      <c r="G19" s="16" t="s">
        <v>573</v>
      </c>
    </row>
    <row r="20" spans="1:7" ht="27" x14ac:dyDescent="0.2">
      <c r="A20" s="10" t="s">
        <v>64</v>
      </c>
      <c r="B20" s="10" t="s">
        <v>67</v>
      </c>
      <c r="C20" s="10" t="s">
        <v>66</v>
      </c>
      <c r="D20" s="10" t="s">
        <v>68</v>
      </c>
      <c r="E20" s="10" t="s">
        <v>69</v>
      </c>
      <c r="F20" s="10" t="s">
        <v>65</v>
      </c>
      <c r="G20" s="17" t="s">
        <v>573</v>
      </c>
    </row>
    <row r="21" spans="1:7" ht="27" x14ac:dyDescent="0.2">
      <c r="A21" s="9" t="s">
        <v>66</v>
      </c>
      <c r="B21" s="9" t="s">
        <v>64</v>
      </c>
      <c r="C21" s="9" t="s">
        <v>67</v>
      </c>
      <c r="D21" s="9" t="s">
        <v>68</v>
      </c>
      <c r="E21" s="9" t="s">
        <v>65</v>
      </c>
      <c r="F21" s="9" t="s">
        <v>69</v>
      </c>
      <c r="G21" s="16" t="s">
        <v>573</v>
      </c>
    </row>
    <row r="22" spans="1:7" ht="27" x14ac:dyDescent="0.2">
      <c r="A22" s="10" t="s">
        <v>66</v>
      </c>
      <c r="B22" s="10" t="s">
        <v>67</v>
      </c>
      <c r="C22" s="10" t="s">
        <v>65</v>
      </c>
      <c r="D22" s="10" t="s">
        <v>64</v>
      </c>
      <c r="E22" s="10" t="s">
        <v>68</v>
      </c>
      <c r="F22" s="10" t="s">
        <v>69</v>
      </c>
      <c r="G22" s="17" t="s">
        <v>573</v>
      </c>
    </row>
    <row r="23" spans="1:7" ht="27" x14ac:dyDescent="0.2">
      <c r="A23" s="9" t="s">
        <v>64</v>
      </c>
      <c r="B23" s="9" t="s">
        <v>66</v>
      </c>
      <c r="C23" s="9" t="s">
        <v>65</v>
      </c>
      <c r="D23" s="9" t="s">
        <v>68</v>
      </c>
      <c r="E23" s="9" t="s">
        <v>67</v>
      </c>
      <c r="F23" s="9" t="s">
        <v>69</v>
      </c>
      <c r="G23" s="16" t="s">
        <v>573</v>
      </c>
    </row>
    <row r="24" spans="1:7" ht="27" x14ac:dyDescent="0.2">
      <c r="A24" s="10" t="s">
        <v>64</v>
      </c>
      <c r="B24" s="10" t="s">
        <v>67</v>
      </c>
      <c r="C24" s="10" t="s">
        <v>66</v>
      </c>
      <c r="D24" s="10" t="s">
        <v>68</v>
      </c>
      <c r="E24" s="10" t="s">
        <v>65</v>
      </c>
      <c r="F24" s="10" t="s">
        <v>69</v>
      </c>
      <c r="G24" s="17" t="s">
        <v>573</v>
      </c>
    </row>
    <row r="25" spans="1:7" ht="27" x14ac:dyDescent="0.2">
      <c r="A25" s="9" t="s">
        <v>64</v>
      </c>
      <c r="B25" s="9" t="s">
        <v>65</v>
      </c>
      <c r="C25" s="9" t="s">
        <v>66</v>
      </c>
      <c r="D25" s="9" t="s">
        <v>68</v>
      </c>
      <c r="E25" s="9" t="s">
        <v>67</v>
      </c>
      <c r="F25" s="9" t="s">
        <v>69</v>
      </c>
      <c r="G25" s="16" t="s">
        <v>573</v>
      </c>
    </row>
    <row r="26" spans="1:7" ht="27" x14ac:dyDescent="0.2">
      <c r="A26" s="10" t="s">
        <v>64</v>
      </c>
      <c r="B26" s="10" t="s">
        <v>65</v>
      </c>
      <c r="C26" s="10" t="s">
        <v>66</v>
      </c>
      <c r="D26" s="10" t="s">
        <v>68</v>
      </c>
      <c r="E26" s="10" t="s">
        <v>69</v>
      </c>
      <c r="F26" s="10" t="s">
        <v>67</v>
      </c>
      <c r="G26" s="17" t="s">
        <v>573</v>
      </c>
    </row>
    <row r="27" spans="1:7" ht="27" x14ac:dyDescent="0.2">
      <c r="A27" s="9" t="s">
        <v>64</v>
      </c>
      <c r="B27" s="9" t="s">
        <v>65</v>
      </c>
      <c r="C27" s="9" t="s">
        <v>66</v>
      </c>
      <c r="D27" s="9" t="s">
        <v>69</v>
      </c>
      <c r="E27" s="9" t="s">
        <v>68</v>
      </c>
      <c r="F27" s="9" t="s">
        <v>67</v>
      </c>
      <c r="G27" s="16" t="s">
        <v>573</v>
      </c>
    </row>
    <row r="28" spans="1:7" ht="27" x14ac:dyDescent="0.2">
      <c r="A28" s="10" t="s">
        <v>64</v>
      </c>
      <c r="B28" s="10" t="s">
        <v>67</v>
      </c>
      <c r="C28" s="10" t="s">
        <v>66</v>
      </c>
      <c r="D28" s="10" t="s">
        <v>68</v>
      </c>
      <c r="E28" s="10" t="s">
        <v>69</v>
      </c>
      <c r="F28" s="10" t="s">
        <v>65</v>
      </c>
      <c r="G28" s="17" t="s">
        <v>573</v>
      </c>
    </row>
    <row r="29" spans="1:7" ht="27" x14ac:dyDescent="0.2">
      <c r="A29" s="9" t="s">
        <v>68</v>
      </c>
      <c r="B29" s="9" t="s">
        <v>65</v>
      </c>
      <c r="C29" s="9" t="s">
        <v>64</v>
      </c>
      <c r="D29" s="9" t="s">
        <v>66</v>
      </c>
      <c r="E29" s="9" t="s">
        <v>67</v>
      </c>
      <c r="F29" s="9" t="s">
        <v>69</v>
      </c>
      <c r="G29" s="16" t="s">
        <v>573</v>
      </c>
    </row>
    <row r="30" spans="1:7" ht="27" x14ac:dyDescent="0.2">
      <c r="A30" s="10" t="s">
        <v>67</v>
      </c>
      <c r="B30" s="10" t="s">
        <v>65</v>
      </c>
      <c r="C30" s="10" t="s">
        <v>66</v>
      </c>
      <c r="D30" s="10" t="s">
        <v>68</v>
      </c>
      <c r="E30" s="10" t="s">
        <v>64</v>
      </c>
      <c r="F30" s="10" t="s">
        <v>69</v>
      </c>
      <c r="G30" s="17" t="s">
        <v>573</v>
      </c>
    </row>
    <row r="31" spans="1:7" ht="27" x14ac:dyDescent="0.2">
      <c r="A31" s="9" t="s">
        <v>65</v>
      </c>
      <c r="B31" s="9" t="s">
        <v>68</v>
      </c>
      <c r="C31" s="9" t="s">
        <v>64</v>
      </c>
      <c r="D31" s="9" t="s">
        <v>66</v>
      </c>
      <c r="E31" s="9" t="s">
        <v>67</v>
      </c>
      <c r="F31" s="9" t="s">
        <v>69</v>
      </c>
      <c r="G31" s="16" t="s">
        <v>573</v>
      </c>
    </row>
    <row r="32" spans="1:7" ht="27" x14ac:dyDescent="0.2">
      <c r="A32" s="10" t="s">
        <v>64</v>
      </c>
      <c r="B32" s="10" t="s">
        <v>65</v>
      </c>
      <c r="C32" s="10" t="s">
        <v>66</v>
      </c>
      <c r="D32" s="10" t="s">
        <v>68</v>
      </c>
      <c r="E32" s="10" t="s">
        <v>67</v>
      </c>
      <c r="F32" s="10" t="s">
        <v>69</v>
      </c>
      <c r="G32" s="17" t="s">
        <v>573</v>
      </c>
    </row>
    <row r="33" spans="1:7" ht="27" x14ac:dyDescent="0.2">
      <c r="A33" s="9" t="s">
        <v>64</v>
      </c>
      <c r="B33" s="9" t="s">
        <v>66</v>
      </c>
      <c r="C33" s="9" t="s">
        <v>65</v>
      </c>
      <c r="D33" s="9" t="s">
        <v>68</v>
      </c>
      <c r="E33" s="9" t="s">
        <v>67</v>
      </c>
      <c r="F33" s="9" t="s">
        <v>69</v>
      </c>
      <c r="G33" s="16" t="s">
        <v>573</v>
      </c>
    </row>
    <row r="34" spans="1:7" ht="27" x14ac:dyDescent="0.2">
      <c r="A34" s="10" t="s">
        <v>66</v>
      </c>
      <c r="B34" s="10" t="s">
        <v>64</v>
      </c>
      <c r="C34" s="10" t="s">
        <v>65</v>
      </c>
      <c r="D34" s="10" t="s">
        <v>68</v>
      </c>
      <c r="E34" s="10" t="s">
        <v>67</v>
      </c>
      <c r="F34" s="10" t="s">
        <v>69</v>
      </c>
      <c r="G34" s="17" t="s">
        <v>573</v>
      </c>
    </row>
    <row r="35" spans="1:7" ht="27" x14ac:dyDescent="0.2">
      <c r="A35" s="9" t="s">
        <v>69</v>
      </c>
      <c r="B35" s="9" t="s">
        <v>66</v>
      </c>
      <c r="C35" s="9" t="s">
        <v>67</v>
      </c>
      <c r="D35" s="9" t="s">
        <v>68</v>
      </c>
      <c r="E35" s="9" t="s">
        <v>65</v>
      </c>
      <c r="F35" s="9" t="s">
        <v>64</v>
      </c>
      <c r="G35" s="16" t="s">
        <v>573</v>
      </c>
    </row>
    <row r="36" spans="1:7" ht="27" x14ac:dyDescent="0.2">
      <c r="A36" s="10" t="s">
        <v>65</v>
      </c>
      <c r="B36" s="10" t="s">
        <v>68</v>
      </c>
      <c r="C36" s="10" t="s">
        <v>67</v>
      </c>
      <c r="D36" s="10" t="s">
        <v>69</v>
      </c>
      <c r="E36" s="10" t="s">
        <v>64</v>
      </c>
      <c r="F36" s="10" t="s">
        <v>66</v>
      </c>
      <c r="G36" s="17" t="s">
        <v>573</v>
      </c>
    </row>
    <row r="37" spans="1:7" ht="27" x14ac:dyDescent="0.2">
      <c r="A37" s="9" t="s">
        <v>65</v>
      </c>
      <c r="B37" s="9" t="s">
        <v>68</v>
      </c>
      <c r="C37" s="9" t="s">
        <v>64</v>
      </c>
      <c r="D37" s="9" t="s">
        <v>66</v>
      </c>
      <c r="E37" s="9" t="s">
        <v>69</v>
      </c>
      <c r="F37" s="9" t="s">
        <v>67</v>
      </c>
      <c r="G37" s="16" t="s">
        <v>573</v>
      </c>
    </row>
    <row r="38" spans="1:7" ht="27" x14ac:dyDescent="0.2">
      <c r="A38" s="9" t="s">
        <v>64</v>
      </c>
      <c r="B38" s="9" t="s">
        <v>67</v>
      </c>
      <c r="C38" s="9" t="s">
        <v>66</v>
      </c>
      <c r="D38" s="9" t="s">
        <v>65</v>
      </c>
      <c r="E38" s="9" t="s">
        <v>68</v>
      </c>
      <c r="F38" s="9" t="s">
        <v>69</v>
      </c>
      <c r="G38" s="16" t="s">
        <v>573</v>
      </c>
    </row>
    <row r="39" spans="1:7" ht="27" x14ac:dyDescent="0.2">
      <c r="A39" s="10" t="s">
        <v>69</v>
      </c>
      <c r="B39" s="10" t="s">
        <v>68</v>
      </c>
      <c r="C39" s="10" t="s">
        <v>64</v>
      </c>
      <c r="D39" s="10" t="s">
        <v>65</v>
      </c>
      <c r="E39" s="10" t="s">
        <v>67</v>
      </c>
      <c r="F39" s="10" t="s">
        <v>66</v>
      </c>
      <c r="G39" s="17" t="s">
        <v>573</v>
      </c>
    </row>
    <row r="40" spans="1:7" ht="27" x14ac:dyDescent="0.2">
      <c r="A40" s="9" t="s">
        <v>66</v>
      </c>
      <c r="B40" s="9" t="s">
        <v>68</v>
      </c>
      <c r="C40" s="9" t="s">
        <v>64</v>
      </c>
      <c r="D40" s="9" t="s">
        <v>67</v>
      </c>
      <c r="E40" s="9" t="s">
        <v>69</v>
      </c>
      <c r="F40" s="9" t="s">
        <v>65</v>
      </c>
      <c r="G40" s="16" t="s">
        <v>573</v>
      </c>
    </row>
    <row r="41" spans="1:7" ht="27" x14ac:dyDescent="0.2">
      <c r="A41" s="10" t="s">
        <v>68</v>
      </c>
      <c r="B41" s="10" t="s">
        <v>66</v>
      </c>
      <c r="C41" s="10" t="s">
        <v>65</v>
      </c>
      <c r="D41" s="10" t="s">
        <v>64</v>
      </c>
      <c r="E41" s="10" t="s">
        <v>69</v>
      </c>
      <c r="F41" s="10" t="s">
        <v>67</v>
      </c>
      <c r="G41" s="17" t="s">
        <v>573</v>
      </c>
    </row>
    <row r="42" spans="1:7" ht="27" x14ac:dyDescent="0.2">
      <c r="A42" s="9" t="s">
        <v>67</v>
      </c>
      <c r="B42" s="9" t="s">
        <v>65</v>
      </c>
      <c r="C42" s="9" t="s">
        <v>66</v>
      </c>
      <c r="D42" s="9" t="s">
        <v>64</v>
      </c>
      <c r="E42" s="9" t="s">
        <v>68</v>
      </c>
      <c r="F42" s="9" t="s">
        <v>69</v>
      </c>
      <c r="G42" s="16" t="s">
        <v>573</v>
      </c>
    </row>
    <row r="43" spans="1:7" ht="27" x14ac:dyDescent="0.2">
      <c r="A43" s="10" t="s">
        <v>65</v>
      </c>
      <c r="B43" s="10" t="s">
        <v>64</v>
      </c>
      <c r="C43" s="10" t="s">
        <v>66</v>
      </c>
      <c r="D43" s="10" t="s">
        <v>68</v>
      </c>
      <c r="E43" s="10" t="s">
        <v>67</v>
      </c>
      <c r="F43" s="10" t="s">
        <v>69</v>
      </c>
      <c r="G43" s="17" t="s">
        <v>573</v>
      </c>
    </row>
    <row r="44" spans="1:7" ht="27" x14ac:dyDescent="0.2">
      <c r="A44" s="9" t="s">
        <v>66</v>
      </c>
      <c r="B44" s="9" t="s">
        <v>64</v>
      </c>
      <c r="C44" s="9" t="s">
        <v>65</v>
      </c>
      <c r="D44" s="9" t="s">
        <v>68</v>
      </c>
      <c r="E44" s="9" t="s">
        <v>67</v>
      </c>
      <c r="F44" s="9" t="s">
        <v>69</v>
      </c>
      <c r="G44" s="16" t="s">
        <v>573</v>
      </c>
    </row>
    <row r="45" spans="1:7" ht="27" x14ac:dyDescent="0.2">
      <c r="A45" s="10" t="s">
        <v>68</v>
      </c>
      <c r="B45" s="10" t="s">
        <v>65</v>
      </c>
      <c r="C45" s="10" t="s">
        <v>66</v>
      </c>
      <c r="D45" s="10" t="s">
        <v>64</v>
      </c>
      <c r="E45" s="10" t="s">
        <v>67</v>
      </c>
      <c r="F45" s="10" t="s">
        <v>69</v>
      </c>
      <c r="G45" s="17" t="s">
        <v>573</v>
      </c>
    </row>
    <row r="46" spans="1:7" ht="27" x14ac:dyDescent="0.2">
      <c r="A46" s="9" t="s">
        <v>66</v>
      </c>
      <c r="B46" s="9" t="s">
        <v>64</v>
      </c>
      <c r="C46" s="9" t="s">
        <v>68</v>
      </c>
      <c r="D46" s="9" t="s">
        <v>65</v>
      </c>
      <c r="E46" s="9" t="s">
        <v>67</v>
      </c>
      <c r="F46" s="9" t="s">
        <v>69</v>
      </c>
      <c r="G46" s="16" t="s">
        <v>573</v>
      </c>
    </row>
    <row r="47" spans="1:7" ht="27" x14ac:dyDescent="0.2">
      <c r="A47" s="10" t="s">
        <v>66</v>
      </c>
      <c r="B47" s="10" t="s">
        <v>64</v>
      </c>
      <c r="C47" s="10" t="s">
        <v>69</v>
      </c>
      <c r="D47" s="10" t="s">
        <v>68</v>
      </c>
      <c r="E47" s="10" t="s">
        <v>65</v>
      </c>
      <c r="F47" s="10" t="s">
        <v>67</v>
      </c>
      <c r="G47" s="17" t="s">
        <v>573</v>
      </c>
    </row>
    <row r="48" spans="1:7" ht="27" x14ac:dyDescent="0.2">
      <c r="A48" s="9" t="s">
        <v>67</v>
      </c>
      <c r="B48" s="9" t="s">
        <v>64</v>
      </c>
      <c r="C48" s="9" t="s">
        <v>69</v>
      </c>
      <c r="D48" s="9" t="s">
        <v>66</v>
      </c>
      <c r="E48" s="9" t="s">
        <v>65</v>
      </c>
      <c r="F48" s="9" t="s">
        <v>68</v>
      </c>
      <c r="G48" s="16" t="s">
        <v>573</v>
      </c>
    </row>
    <row r="49" spans="1:7" ht="27" x14ac:dyDescent="0.2">
      <c r="A49" s="10" t="s">
        <v>64</v>
      </c>
      <c r="B49" s="10" t="s">
        <v>66</v>
      </c>
      <c r="C49" s="10" t="s">
        <v>68</v>
      </c>
      <c r="D49" s="10" t="s">
        <v>65</v>
      </c>
      <c r="E49" s="10" t="s">
        <v>67</v>
      </c>
      <c r="F49" s="10" t="s">
        <v>69</v>
      </c>
      <c r="G49" s="17" t="s">
        <v>573</v>
      </c>
    </row>
    <row r="50" spans="1:7" ht="27" x14ac:dyDescent="0.2">
      <c r="A50" s="9" t="s">
        <v>68</v>
      </c>
      <c r="B50" s="9" t="s">
        <v>65</v>
      </c>
      <c r="C50" s="9" t="s">
        <v>69</v>
      </c>
      <c r="D50" s="9" t="s">
        <v>64</v>
      </c>
      <c r="E50" s="9" t="s">
        <v>66</v>
      </c>
      <c r="F50" s="9" t="s">
        <v>67</v>
      </c>
      <c r="G50" s="16" t="s">
        <v>573</v>
      </c>
    </row>
    <row r="51" spans="1:7" ht="27" x14ac:dyDescent="0.2">
      <c r="A51" s="10" t="s">
        <v>64</v>
      </c>
      <c r="B51" s="10" t="s">
        <v>66</v>
      </c>
      <c r="C51" s="10" t="s">
        <v>68</v>
      </c>
      <c r="D51" s="10" t="s">
        <v>67</v>
      </c>
      <c r="E51" s="10" t="s">
        <v>65</v>
      </c>
      <c r="F51" s="10" t="s">
        <v>69</v>
      </c>
      <c r="G51" s="17" t="s">
        <v>573</v>
      </c>
    </row>
    <row r="52" spans="1:7" ht="27" x14ac:dyDescent="0.2">
      <c r="A52" s="9" t="s">
        <v>64</v>
      </c>
      <c r="B52" s="9" t="s">
        <v>66</v>
      </c>
      <c r="C52" s="9" t="s">
        <v>65</v>
      </c>
      <c r="D52" s="9" t="s">
        <v>67</v>
      </c>
      <c r="E52" s="9" t="s">
        <v>68</v>
      </c>
      <c r="F52" s="9" t="s">
        <v>69</v>
      </c>
      <c r="G52" s="16" t="s">
        <v>573</v>
      </c>
    </row>
    <row r="53" spans="1:7" ht="27" x14ac:dyDescent="0.2">
      <c r="A53" s="10" t="s">
        <v>66</v>
      </c>
      <c r="B53" s="10" t="s">
        <v>64</v>
      </c>
      <c r="C53" s="10" t="s">
        <v>68</v>
      </c>
      <c r="D53" s="10" t="s">
        <v>65</v>
      </c>
      <c r="E53" s="10" t="s">
        <v>67</v>
      </c>
      <c r="F53" s="10" t="s">
        <v>69</v>
      </c>
      <c r="G53" s="17" t="s">
        <v>573</v>
      </c>
    </row>
    <row r="54" spans="1:7" ht="27" x14ac:dyDescent="0.2">
      <c r="A54" s="9" t="s">
        <v>68</v>
      </c>
      <c r="B54" s="9" t="s">
        <v>64</v>
      </c>
      <c r="C54" s="9" t="s">
        <v>65</v>
      </c>
      <c r="D54" s="9" t="s">
        <v>66</v>
      </c>
      <c r="E54" s="9" t="s">
        <v>69</v>
      </c>
      <c r="F54" s="9" t="s">
        <v>67</v>
      </c>
      <c r="G54" s="16" t="s">
        <v>573</v>
      </c>
    </row>
    <row r="55" spans="1:7" ht="27" x14ac:dyDescent="0.2">
      <c r="A55" s="10" t="s">
        <v>66</v>
      </c>
      <c r="B55" s="10" t="s">
        <v>68</v>
      </c>
      <c r="C55" s="10" t="s">
        <v>65</v>
      </c>
      <c r="D55" s="10" t="s">
        <v>64</v>
      </c>
      <c r="E55" s="10" t="s">
        <v>67</v>
      </c>
      <c r="F55" s="10" t="s">
        <v>69</v>
      </c>
      <c r="G55" s="17" t="s">
        <v>573</v>
      </c>
    </row>
    <row r="56" spans="1:7" ht="27" x14ac:dyDescent="0.2">
      <c r="A56" s="9" t="s">
        <v>66</v>
      </c>
      <c r="B56" s="9" t="s">
        <v>69</v>
      </c>
      <c r="C56" s="9" t="s">
        <v>64</v>
      </c>
      <c r="D56" s="9" t="s">
        <v>68</v>
      </c>
      <c r="E56" s="9" t="s">
        <v>65</v>
      </c>
      <c r="F56" s="9" t="s">
        <v>67</v>
      </c>
      <c r="G56" s="16" t="s">
        <v>573</v>
      </c>
    </row>
    <row r="57" spans="1:7" ht="27" x14ac:dyDescent="0.2">
      <c r="A57" s="9" t="s">
        <v>66</v>
      </c>
      <c r="B57" s="9" t="s">
        <v>68</v>
      </c>
      <c r="C57" s="9" t="s">
        <v>65</v>
      </c>
      <c r="D57" s="9" t="s">
        <v>69</v>
      </c>
      <c r="E57" s="9" t="s">
        <v>64</v>
      </c>
      <c r="F57" s="9" t="s">
        <v>67</v>
      </c>
      <c r="G57" s="16" t="s">
        <v>573</v>
      </c>
    </row>
    <row r="58" spans="1:7" ht="27" x14ac:dyDescent="0.2">
      <c r="A58" s="10" t="s">
        <v>68</v>
      </c>
      <c r="B58" s="10" t="s">
        <v>65</v>
      </c>
      <c r="C58" s="10" t="s">
        <v>64</v>
      </c>
      <c r="D58" s="10" t="s">
        <v>69</v>
      </c>
      <c r="E58" s="10" t="s">
        <v>66</v>
      </c>
      <c r="F58" s="10" t="s">
        <v>67</v>
      </c>
      <c r="G58" s="17" t="s">
        <v>573</v>
      </c>
    </row>
    <row r="59" spans="1:7" ht="27" x14ac:dyDescent="0.2">
      <c r="A59" s="10" t="s">
        <v>65</v>
      </c>
      <c r="B59" s="10" t="s">
        <v>68</v>
      </c>
      <c r="C59" s="10" t="s">
        <v>66</v>
      </c>
      <c r="D59" s="10" t="s">
        <v>64</v>
      </c>
      <c r="E59" s="10" t="s">
        <v>67</v>
      </c>
      <c r="F59" s="10" t="s">
        <v>69</v>
      </c>
      <c r="G59" s="17" t="s">
        <v>573</v>
      </c>
    </row>
    <row r="60" spans="1:7" ht="27" x14ac:dyDescent="0.2">
      <c r="A60" s="9" t="s">
        <v>69</v>
      </c>
      <c r="B60" s="9" t="s">
        <v>64</v>
      </c>
      <c r="C60" s="9" t="s">
        <v>68</v>
      </c>
      <c r="D60" s="9" t="s">
        <v>66</v>
      </c>
      <c r="E60" s="9" t="s">
        <v>67</v>
      </c>
      <c r="F60" s="9" t="s">
        <v>65</v>
      </c>
      <c r="G60" s="16" t="s">
        <v>573</v>
      </c>
    </row>
    <row r="61" spans="1:7" ht="27" x14ac:dyDescent="0.2">
      <c r="A61" s="9" t="s">
        <v>64</v>
      </c>
      <c r="B61" s="9" t="s">
        <v>65</v>
      </c>
      <c r="C61" s="9" t="s">
        <v>68</v>
      </c>
      <c r="D61" s="9" t="s">
        <v>66</v>
      </c>
      <c r="E61" s="9" t="s">
        <v>67</v>
      </c>
      <c r="F61" s="9" t="s">
        <v>69</v>
      </c>
      <c r="G61" s="16" t="s">
        <v>573</v>
      </c>
    </row>
    <row r="62" spans="1:7" ht="27" x14ac:dyDescent="0.2">
      <c r="A62" s="10" t="s">
        <v>66</v>
      </c>
      <c r="B62" s="10" t="s">
        <v>64</v>
      </c>
      <c r="C62" s="10" t="s">
        <v>65</v>
      </c>
      <c r="D62" s="10" t="s">
        <v>68</v>
      </c>
      <c r="E62" s="10" t="s">
        <v>69</v>
      </c>
      <c r="F62" s="10" t="s">
        <v>67</v>
      </c>
      <c r="G62" s="17" t="s">
        <v>573</v>
      </c>
    </row>
    <row r="63" spans="1:7" ht="27" x14ac:dyDescent="0.2">
      <c r="A63" s="10" t="s">
        <v>64</v>
      </c>
      <c r="B63" s="10" t="s">
        <v>65</v>
      </c>
      <c r="C63" s="10" t="s">
        <v>66</v>
      </c>
      <c r="D63" s="10" t="s">
        <v>67</v>
      </c>
      <c r="E63" s="10" t="s">
        <v>69</v>
      </c>
      <c r="F63" s="10" t="s">
        <v>68</v>
      </c>
      <c r="G63" s="17" t="s">
        <v>573</v>
      </c>
    </row>
    <row r="64" spans="1:7" ht="27" x14ac:dyDescent="0.2">
      <c r="A64" s="9" t="s">
        <v>67</v>
      </c>
      <c r="B64" s="9" t="s">
        <v>65</v>
      </c>
      <c r="C64" s="9" t="s">
        <v>68</v>
      </c>
      <c r="D64" s="9" t="s">
        <v>64</v>
      </c>
      <c r="E64" s="9" t="s">
        <v>66</v>
      </c>
      <c r="F64" s="9" t="s">
        <v>69</v>
      </c>
      <c r="G64" s="16" t="s">
        <v>573</v>
      </c>
    </row>
    <row r="65" spans="1:7" ht="27" x14ac:dyDescent="0.2">
      <c r="A65" s="10" t="s">
        <v>65</v>
      </c>
      <c r="B65" s="10" t="s">
        <v>66</v>
      </c>
      <c r="C65" s="10" t="s">
        <v>64</v>
      </c>
      <c r="D65" s="10" t="s">
        <v>68</v>
      </c>
      <c r="E65" s="10" t="s">
        <v>69</v>
      </c>
      <c r="F65" s="10" t="s">
        <v>67</v>
      </c>
      <c r="G65" s="17" t="s">
        <v>573</v>
      </c>
    </row>
    <row r="66" spans="1:7" ht="27" x14ac:dyDescent="0.2">
      <c r="A66" s="9" t="s">
        <v>66</v>
      </c>
      <c r="B66" s="9" t="s">
        <v>67</v>
      </c>
      <c r="C66" s="9" t="s">
        <v>64</v>
      </c>
      <c r="D66" s="9" t="s">
        <v>65</v>
      </c>
      <c r="E66" s="9" t="s">
        <v>68</v>
      </c>
      <c r="F66" s="9" t="s">
        <v>69</v>
      </c>
      <c r="G66" s="16" t="s">
        <v>573</v>
      </c>
    </row>
    <row r="67" spans="1:7" ht="27" x14ac:dyDescent="0.2">
      <c r="A67" s="10" t="s">
        <v>65</v>
      </c>
      <c r="B67" s="10" t="s">
        <v>66</v>
      </c>
      <c r="C67" s="10" t="s">
        <v>64</v>
      </c>
      <c r="D67" s="10" t="s">
        <v>68</v>
      </c>
      <c r="E67" s="10" t="s">
        <v>69</v>
      </c>
      <c r="F67" s="10" t="s">
        <v>67</v>
      </c>
      <c r="G67" s="17" t="s">
        <v>573</v>
      </c>
    </row>
    <row r="68" spans="1:7" ht="27" x14ac:dyDescent="0.2">
      <c r="A68" s="9" t="s">
        <v>64</v>
      </c>
      <c r="B68" s="9" t="s">
        <v>66</v>
      </c>
      <c r="C68" s="9" t="s">
        <v>65</v>
      </c>
      <c r="D68" s="9" t="s">
        <v>68</v>
      </c>
      <c r="E68" s="9" t="s">
        <v>67</v>
      </c>
      <c r="F68" s="9" t="s">
        <v>69</v>
      </c>
      <c r="G68" s="16" t="s">
        <v>573</v>
      </c>
    </row>
    <row r="69" spans="1:7" ht="27" x14ac:dyDescent="0.2">
      <c r="A69" s="10" t="s">
        <v>68</v>
      </c>
      <c r="B69" s="10" t="s">
        <v>64</v>
      </c>
      <c r="C69" s="10" t="s">
        <v>66</v>
      </c>
      <c r="D69" s="10" t="s">
        <v>65</v>
      </c>
      <c r="E69" s="10" t="s">
        <v>69</v>
      </c>
      <c r="F69" s="10" t="s">
        <v>67</v>
      </c>
      <c r="G69" s="17" t="s">
        <v>573</v>
      </c>
    </row>
    <row r="70" spans="1:7" ht="27" x14ac:dyDescent="0.2">
      <c r="A70" s="9" t="s">
        <v>66</v>
      </c>
      <c r="B70" s="9" t="s">
        <v>64</v>
      </c>
      <c r="C70" s="9" t="s">
        <v>68</v>
      </c>
      <c r="D70" s="9" t="s">
        <v>69</v>
      </c>
      <c r="E70" s="9" t="s">
        <v>65</v>
      </c>
      <c r="F70" s="9" t="s">
        <v>67</v>
      </c>
      <c r="G70" s="16" t="s">
        <v>573</v>
      </c>
    </row>
    <row r="71" spans="1:7" ht="27" x14ac:dyDescent="0.2">
      <c r="A71" s="10" t="s">
        <v>66</v>
      </c>
      <c r="B71" s="10" t="s">
        <v>68</v>
      </c>
      <c r="C71" s="10" t="s">
        <v>64</v>
      </c>
      <c r="D71" s="10" t="s">
        <v>67</v>
      </c>
      <c r="E71" s="10" t="s">
        <v>65</v>
      </c>
      <c r="F71" s="10" t="s">
        <v>69</v>
      </c>
      <c r="G71" s="17" t="s">
        <v>573</v>
      </c>
    </row>
    <row r="72" spans="1:7" ht="27" x14ac:dyDescent="0.2">
      <c r="A72" s="9" t="s">
        <v>64</v>
      </c>
      <c r="B72" s="9" t="s">
        <v>66</v>
      </c>
      <c r="C72" s="9" t="s">
        <v>68</v>
      </c>
      <c r="D72" s="9" t="s">
        <v>67</v>
      </c>
      <c r="E72" s="9" t="s">
        <v>69</v>
      </c>
      <c r="F72" s="9" t="s">
        <v>65</v>
      </c>
      <c r="G72" s="16" t="s">
        <v>573</v>
      </c>
    </row>
    <row r="73" spans="1:7" ht="27" x14ac:dyDescent="0.2">
      <c r="A73" s="10" t="s">
        <v>64</v>
      </c>
      <c r="B73" s="10" t="s">
        <v>66</v>
      </c>
      <c r="C73" s="10" t="s">
        <v>68</v>
      </c>
      <c r="D73" s="10" t="s">
        <v>67</v>
      </c>
      <c r="E73" s="10" t="s">
        <v>65</v>
      </c>
      <c r="F73" s="10" t="s">
        <v>69</v>
      </c>
      <c r="G73" s="17" t="s">
        <v>573</v>
      </c>
    </row>
    <row r="74" spans="1:7" ht="27" x14ac:dyDescent="0.2">
      <c r="A74" s="9" t="s">
        <v>68</v>
      </c>
      <c r="B74" s="9" t="s">
        <v>65</v>
      </c>
      <c r="C74" s="9" t="s">
        <v>66</v>
      </c>
      <c r="D74" s="9" t="s">
        <v>67</v>
      </c>
      <c r="E74" s="9" t="s">
        <v>64</v>
      </c>
      <c r="F74" s="9" t="s">
        <v>69</v>
      </c>
      <c r="G74" s="16" t="s">
        <v>573</v>
      </c>
    </row>
    <row r="75" spans="1:7" ht="27" x14ac:dyDescent="0.2">
      <c r="A75" s="10" t="s">
        <v>66</v>
      </c>
      <c r="B75" s="10" t="s">
        <v>64</v>
      </c>
      <c r="C75" s="10" t="s">
        <v>65</v>
      </c>
      <c r="D75" s="10" t="s">
        <v>69</v>
      </c>
      <c r="E75" s="10" t="s">
        <v>68</v>
      </c>
      <c r="F75" s="10" t="s">
        <v>67</v>
      </c>
      <c r="G75" s="17" t="s">
        <v>573</v>
      </c>
    </row>
    <row r="76" spans="1:7" ht="27" x14ac:dyDescent="0.2">
      <c r="A76" s="9" t="s">
        <v>66</v>
      </c>
      <c r="B76" s="9" t="s">
        <v>69</v>
      </c>
      <c r="C76" s="9" t="s">
        <v>67</v>
      </c>
      <c r="D76" s="9" t="s">
        <v>65</v>
      </c>
      <c r="E76" s="9" t="s">
        <v>64</v>
      </c>
      <c r="F76" s="9" t="s">
        <v>68</v>
      </c>
      <c r="G76" s="16" t="s">
        <v>573</v>
      </c>
    </row>
    <row r="77" spans="1:7" ht="27" x14ac:dyDescent="0.2">
      <c r="A77" s="10" t="s">
        <v>68</v>
      </c>
      <c r="B77" s="10" t="s">
        <v>64</v>
      </c>
      <c r="C77" s="10" t="s">
        <v>69</v>
      </c>
      <c r="D77" s="10" t="s">
        <v>66</v>
      </c>
      <c r="E77" s="10" t="s">
        <v>67</v>
      </c>
      <c r="F77" s="10" t="s">
        <v>65</v>
      </c>
      <c r="G77" s="17" t="s">
        <v>573</v>
      </c>
    </row>
    <row r="78" spans="1:7" ht="27" x14ac:dyDescent="0.2">
      <c r="A78" s="9" t="s">
        <v>68</v>
      </c>
      <c r="B78" s="9" t="s">
        <v>65</v>
      </c>
      <c r="C78" s="9" t="s">
        <v>67</v>
      </c>
      <c r="D78" s="9" t="s">
        <v>69</v>
      </c>
      <c r="E78" s="9" t="s">
        <v>64</v>
      </c>
      <c r="F78" s="9" t="s">
        <v>66</v>
      </c>
      <c r="G78" s="16" t="s">
        <v>573</v>
      </c>
    </row>
    <row r="79" spans="1:7" ht="27" x14ac:dyDescent="0.2">
      <c r="A79" s="10" t="s">
        <v>64</v>
      </c>
      <c r="B79" s="10" t="s">
        <v>65</v>
      </c>
      <c r="C79" s="10" t="s">
        <v>66</v>
      </c>
      <c r="D79" s="10" t="s">
        <v>68</v>
      </c>
      <c r="E79" s="10" t="s">
        <v>67</v>
      </c>
      <c r="F79" s="10" t="s">
        <v>69</v>
      </c>
      <c r="G79" s="17" t="s">
        <v>573</v>
      </c>
    </row>
    <row r="80" spans="1:7" ht="27" x14ac:dyDescent="0.2">
      <c r="A80" s="10" t="s">
        <v>69</v>
      </c>
      <c r="B80" s="10" t="s">
        <v>67</v>
      </c>
      <c r="C80" s="10" t="s">
        <v>65</v>
      </c>
      <c r="D80" s="10" t="s">
        <v>68</v>
      </c>
      <c r="E80" s="10" t="s">
        <v>66</v>
      </c>
      <c r="F80" s="10" t="s">
        <v>64</v>
      </c>
      <c r="G80" s="17" t="s">
        <v>573</v>
      </c>
    </row>
    <row r="81" spans="1:7" ht="27" x14ac:dyDescent="0.2">
      <c r="A81" s="9" t="s">
        <v>66</v>
      </c>
      <c r="B81" s="9" t="s">
        <v>64</v>
      </c>
      <c r="C81" s="9" t="s">
        <v>65</v>
      </c>
      <c r="D81" s="9" t="s">
        <v>69</v>
      </c>
      <c r="E81" s="9" t="s">
        <v>68</v>
      </c>
      <c r="F81" s="9" t="s">
        <v>67</v>
      </c>
      <c r="G81" s="16" t="s">
        <v>573</v>
      </c>
    </row>
    <row r="82" spans="1:7" ht="27" x14ac:dyDescent="0.2">
      <c r="A82" s="10" t="s">
        <v>66</v>
      </c>
      <c r="B82" s="10" t="s">
        <v>64</v>
      </c>
      <c r="C82" s="10" t="s">
        <v>68</v>
      </c>
      <c r="D82" s="10" t="s">
        <v>65</v>
      </c>
      <c r="E82" s="10" t="s">
        <v>67</v>
      </c>
      <c r="F82" s="10" t="s">
        <v>69</v>
      </c>
      <c r="G82" s="17" t="s">
        <v>573</v>
      </c>
    </row>
    <row r="83" spans="1:7" ht="27" x14ac:dyDescent="0.2">
      <c r="A83" s="10" t="s">
        <v>69</v>
      </c>
      <c r="B83" s="10" t="s">
        <v>65</v>
      </c>
      <c r="C83" s="10" t="s">
        <v>64</v>
      </c>
      <c r="D83" s="10" t="s">
        <v>68</v>
      </c>
      <c r="E83" s="10" t="s">
        <v>66</v>
      </c>
      <c r="F83" s="10" t="s">
        <v>67</v>
      </c>
      <c r="G83" s="17" t="s">
        <v>573</v>
      </c>
    </row>
    <row r="84" spans="1:7" ht="27" x14ac:dyDescent="0.2">
      <c r="A84" s="9" t="s">
        <v>66</v>
      </c>
      <c r="B84" s="9" t="s">
        <v>65</v>
      </c>
      <c r="C84" s="9" t="s">
        <v>64</v>
      </c>
      <c r="D84" s="9" t="s">
        <v>69</v>
      </c>
      <c r="E84" s="9" t="s">
        <v>68</v>
      </c>
      <c r="F84" s="9" t="s">
        <v>67</v>
      </c>
      <c r="G84" s="16" t="s">
        <v>573</v>
      </c>
    </row>
    <row r="85" spans="1:7" ht="27" x14ac:dyDescent="0.2">
      <c r="A85" s="10" t="s">
        <v>65</v>
      </c>
      <c r="B85" s="10" t="s">
        <v>66</v>
      </c>
      <c r="C85" s="10" t="s">
        <v>64</v>
      </c>
      <c r="D85" s="10" t="s">
        <v>69</v>
      </c>
      <c r="E85" s="10" t="s">
        <v>68</v>
      </c>
      <c r="F85" s="10" t="s">
        <v>67</v>
      </c>
      <c r="G85" s="17" t="s">
        <v>573</v>
      </c>
    </row>
    <row r="86" spans="1:7" ht="27" x14ac:dyDescent="0.2">
      <c r="A86" s="9" t="s">
        <v>69</v>
      </c>
      <c r="B86" s="9" t="s">
        <v>66</v>
      </c>
      <c r="C86" s="9" t="s">
        <v>64</v>
      </c>
      <c r="D86" s="9" t="s">
        <v>65</v>
      </c>
      <c r="E86" s="9" t="s">
        <v>67</v>
      </c>
      <c r="F86" s="9" t="s">
        <v>68</v>
      </c>
      <c r="G86" s="16" t="s">
        <v>573</v>
      </c>
    </row>
    <row r="87" spans="1:7" ht="27" x14ac:dyDescent="0.2">
      <c r="A87" s="10" t="s">
        <v>65</v>
      </c>
      <c r="B87" s="10" t="s">
        <v>64</v>
      </c>
      <c r="C87" s="10" t="s">
        <v>66</v>
      </c>
      <c r="D87" s="10" t="s">
        <v>67</v>
      </c>
      <c r="E87" s="10" t="s">
        <v>68</v>
      </c>
      <c r="F87" s="10" t="s">
        <v>69</v>
      </c>
      <c r="G87" s="17" t="s">
        <v>573</v>
      </c>
    </row>
    <row r="88" spans="1:7" ht="27" x14ac:dyDescent="0.2">
      <c r="A88" s="9" t="s">
        <v>65</v>
      </c>
      <c r="B88" s="9" t="s">
        <v>64</v>
      </c>
      <c r="C88" s="9" t="s">
        <v>67</v>
      </c>
      <c r="D88" s="9" t="s">
        <v>68</v>
      </c>
      <c r="E88" s="9" t="s">
        <v>66</v>
      </c>
      <c r="F88" s="9" t="s">
        <v>69</v>
      </c>
      <c r="G88" s="16" t="s">
        <v>573</v>
      </c>
    </row>
    <row r="89" spans="1:7" ht="27" x14ac:dyDescent="0.2">
      <c r="A89" s="10" t="s">
        <v>68</v>
      </c>
      <c r="B89" s="10" t="s">
        <v>65</v>
      </c>
      <c r="C89" s="10" t="s">
        <v>66</v>
      </c>
      <c r="D89" s="10" t="s">
        <v>64</v>
      </c>
      <c r="E89" s="10" t="s">
        <v>69</v>
      </c>
      <c r="F89" s="10" t="s">
        <v>67</v>
      </c>
      <c r="G89" s="17" t="s">
        <v>573</v>
      </c>
    </row>
    <row r="90" spans="1:7" ht="27" x14ac:dyDescent="0.2">
      <c r="A90" s="9" t="s">
        <v>68</v>
      </c>
      <c r="B90" s="9" t="s">
        <v>65</v>
      </c>
      <c r="C90" s="9" t="s">
        <v>64</v>
      </c>
      <c r="D90" s="9" t="s">
        <v>69</v>
      </c>
      <c r="E90" s="9" t="s">
        <v>67</v>
      </c>
      <c r="F90" s="9" t="s">
        <v>66</v>
      </c>
      <c r="G90" s="16" t="s">
        <v>573</v>
      </c>
    </row>
    <row r="91" spans="1:7" ht="27" x14ac:dyDescent="0.2">
      <c r="A91" s="10" t="s">
        <v>65</v>
      </c>
      <c r="B91" s="10" t="s">
        <v>64</v>
      </c>
      <c r="C91" s="10" t="s">
        <v>66</v>
      </c>
      <c r="D91" s="10" t="s">
        <v>67</v>
      </c>
      <c r="E91" s="10" t="s">
        <v>68</v>
      </c>
      <c r="F91" s="10" t="s">
        <v>69</v>
      </c>
      <c r="G91" s="17" t="s">
        <v>573</v>
      </c>
    </row>
    <row r="92" spans="1:7" ht="27" x14ac:dyDescent="0.2">
      <c r="A92" s="10" t="s">
        <v>69</v>
      </c>
      <c r="B92" s="10" t="s">
        <v>68</v>
      </c>
      <c r="C92" s="10" t="s">
        <v>67</v>
      </c>
      <c r="D92" s="10" t="s">
        <v>65</v>
      </c>
      <c r="E92" s="10" t="s">
        <v>64</v>
      </c>
      <c r="F92" s="10" t="s">
        <v>66</v>
      </c>
      <c r="G92" s="17" t="s">
        <v>573</v>
      </c>
    </row>
    <row r="93" spans="1:7" ht="27" x14ac:dyDescent="0.2">
      <c r="A93" s="10" t="s">
        <v>68</v>
      </c>
      <c r="B93" s="10" t="s">
        <v>65</v>
      </c>
      <c r="C93" s="10" t="s">
        <v>66</v>
      </c>
      <c r="D93" s="10" t="s">
        <v>64</v>
      </c>
      <c r="E93" s="10" t="s">
        <v>67</v>
      </c>
      <c r="F93" s="10" t="s">
        <v>69</v>
      </c>
      <c r="G93" s="17" t="s">
        <v>573</v>
      </c>
    </row>
    <row r="94" spans="1:7" ht="27" x14ac:dyDescent="0.2">
      <c r="A94" s="9" t="s">
        <v>66</v>
      </c>
      <c r="B94" s="9" t="s">
        <v>68</v>
      </c>
      <c r="C94" s="9" t="s">
        <v>64</v>
      </c>
      <c r="D94" s="9" t="s">
        <v>65</v>
      </c>
      <c r="E94" s="9" t="s">
        <v>67</v>
      </c>
      <c r="F94" s="9" t="s">
        <v>69</v>
      </c>
      <c r="G94" s="16" t="s">
        <v>573</v>
      </c>
    </row>
    <row r="95" spans="1:7" ht="27" x14ac:dyDescent="0.2">
      <c r="A95" s="10" t="s">
        <v>66</v>
      </c>
      <c r="B95" s="10" t="s">
        <v>64</v>
      </c>
      <c r="C95" s="10" t="s">
        <v>65</v>
      </c>
      <c r="D95" s="10" t="s">
        <v>67</v>
      </c>
      <c r="E95" s="10" t="s">
        <v>69</v>
      </c>
      <c r="F95" s="10" t="s">
        <v>68</v>
      </c>
      <c r="G95" s="17" t="s">
        <v>573</v>
      </c>
    </row>
    <row r="96" spans="1:7" ht="27" x14ac:dyDescent="0.2">
      <c r="A96" s="9" t="s">
        <v>66</v>
      </c>
      <c r="B96" s="9" t="s">
        <v>65</v>
      </c>
      <c r="C96" s="9" t="s">
        <v>68</v>
      </c>
      <c r="D96" s="9" t="s">
        <v>64</v>
      </c>
      <c r="E96" s="9" t="s">
        <v>67</v>
      </c>
      <c r="F96" s="9" t="s">
        <v>69</v>
      </c>
      <c r="G96" s="16" t="s">
        <v>573</v>
      </c>
    </row>
    <row r="97" spans="1:7" ht="27" x14ac:dyDescent="0.2">
      <c r="A97" s="10" t="s">
        <v>64</v>
      </c>
      <c r="B97" s="10" t="s">
        <v>66</v>
      </c>
      <c r="C97" s="10" t="s">
        <v>69</v>
      </c>
      <c r="D97" s="10" t="s">
        <v>68</v>
      </c>
      <c r="E97" s="10" t="s">
        <v>65</v>
      </c>
      <c r="F97" s="10" t="s">
        <v>67</v>
      </c>
      <c r="G97" s="17" t="s">
        <v>573</v>
      </c>
    </row>
    <row r="98" spans="1:7" ht="27" x14ac:dyDescent="0.2">
      <c r="A98" s="10" t="s">
        <v>68</v>
      </c>
      <c r="B98" s="10" t="s">
        <v>65</v>
      </c>
      <c r="C98" s="10" t="s">
        <v>64</v>
      </c>
      <c r="D98" s="10" t="s">
        <v>67</v>
      </c>
      <c r="E98" s="10" t="s">
        <v>66</v>
      </c>
      <c r="F98" s="10" t="s">
        <v>69</v>
      </c>
      <c r="G98" s="17" t="s">
        <v>573</v>
      </c>
    </row>
    <row r="99" spans="1:7" ht="27" x14ac:dyDescent="0.2">
      <c r="A99" s="9" t="s">
        <v>68</v>
      </c>
      <c r="B99" s="9" t="s">
        <v>65</v>
      </c>
      <c r="C99" s="9" t="s">
        <v>66</v>
      </c>
      <c r="D99" s="9" t="s">
        <v>67</v>
      </c>
      <c r="E99" s="9" t="s">
        <v>64</v>
      </c>
      <c r="F99" s="9" t="s">
        <v>69</v>
      </c>
      <c r="G99" s="16" t="s">
        <v>573</v>
      </c>
    </row>
    <row r="100" spans="1:7" ht="27" x14ac:dyDescent="0.2">
      <c r="A100" s="10" t="s">
        <v>65</v>
      </c>
      <c r="B100" s="10" t="s">
        <v>67</v>
      </c>
      <c r="C100" s="10" t="s">
        <v>69</v>
      </c>
      <c r="D100" s="10" t="s">
        <v>68</v>
      </c>
      <c r="E100" s="10" t="s">
        <v>66</v>
      </c>
      <c r="F100" s="10" t="s">
        <v>64</v>
      </c>
      <c r="G100" s="17" t="s">
        <v>573</v>
      </c>
    </row>
    <row r="101" spans="1:7" ht="27" x14ac:dyDescent="0.2">
      <c r="A101" s="10" t="s">
        <v>65</v>
      </c>
      <c r="B101" s="10" t="s">
        <v>67</v>
      </c>
      <c r="C101" s="10" t="s">
        <v>64</v>
      </c>
      <c r="D101" s="10" t="s">
        <v>66</v>
      </c>
      <c r="E101" s="10" t="s">
        <v>68</v>
      </c>
      <c r="F101" s="10" t="s">
        <v>69</v>
      </c>
      <c r="G101" s="17" t="s">
        <v>573</v>
      </c>
    </row>
    <row r="102" spans="1:7" ht="27" x14ac:dyDescent="0.2">
      <c r="A102" s="9" t="s">
        <v>66</v>
      </c>
      <c r="B102" s="9" t="s">
        <v>64</v>
      </c>
      <c r="C102" s="9" t="s">
        <v>65</v>
      </c>
      <c r="D102" s="9" t="s">
        <v>67</v>
      </c>
      <c r="E102" s="9" t="s">
        <v>68</v>
      </c>
      <c r="F102" s="9" t="s">
        <v>69</v>
      </c>
      <c r="G102" s="16" t="s">
        <v>573</v>
      </c>
    </row>
    <row r="103" spans="1:7" ht="27" x14ac:dyDescent="0.2">
      <c r="A103" s="10" t="s">
        <v>65</v>
      </c>
      <c r="B103" s="10" t="s">
        <v>66</v>
      </c>
      <c r="C103" s="10" t="s">
        <v>67</v>
      </c>
      <c r="D103" s="10" t="s">
        <v>68</v>
      </c>
      <c r="E103" s="10" t="s">
        <v>64</v>
      </c>
      <c r="F103" s="10" t="s">
        <v>69</v>
      </c>
      <c r="G103" s="17" t="s">
        <v>573</v>
      </c>
    </row>
    <row r="104" spans="1:7" ht="27" x14ac:dyDescent="0.2">
      <c r="A104" s="9" t="s">
        <v>65</v>
      </c>
      <c r="B104" s="9" t="s">
        <v>68</v>
      </c>
      <c r="C104" s="9" t="s">
        <v>66</v>
      </c>
      <c r="D104" s="9" t="s">
        <v>64</v>
      </c>
      <c r="E104" s="9" t="s">
        <v>67</v>
      </c>
      <c r="F104" s="9" t="s">
        <v>69</v>
      </c>
      <c r="G104" s="16" t="s">
        <v>573</v>
      </c>
    </row>
    <row r="105" spans="1:7" ht="27" x14ac:dyDescent="0.2">
      <c r="A105" s="10" t="s">
        <v>66</v>
      </c>
      <c r="B105" s="10" t="s">
        <v>65</v>
      </c>
      <c r="C105" s="10" t="s">
        <v>68</v>
      </c>
      <c r="D105" s="10" t="s">
        <v>64</v>
      </c>
      <c r="E105" s="10" t="s">
        <v>67</v>
      </c>
      <c r="F105" s="10" t="s">
        <v>69</v>
      </c>
      <c r="G105" s="17" t="s">
        <v>573</v>
      </c>
    </row>
    <row r="106" spans="1:7" ht="27" x14ac:dyDescent="0.2">
      <c r="A106" s="9" t="s">
        <v>66</v>
      </c>
      <c r="B106" s="9" t="s">
        <v>64</v>
      </c>
      <c r="C106" s="9" t="s">
        <v>65</v>
      </c>
      <c r="D106" s="9" t="s">
        <v>67</v>
      </c>
      <c r="E106" s="9" t="s">
        <v>69</v>
      </c>
      <c r="F106" s="9" t="s">
        <v>68</v>
      </c>
      <c r="G106" s="16" t="s">
        <v>573</v>
      </c>
    </row>
    <row r="107" spans="1:7" ht="27" x14ac:dyDescent="0.2">
      <c r="A107" s="10" t="s">
        <v>64</v>
      </c>
      <c r="B107" s="10" t="s">
        <v>65</v>
      </c>
      <c r="C107" s="10" t="s">
        <v>68</v>
      </c>
      <c r="D107" s="10" t="s">
        <v>66</v>
      </c>
      <c r="E107" s="10" t="s">
        <v>67</v>
      </c>
      <c r="F107" s="10" t="s">
        <v>69</v>
      </c>
      <c r="G107" s="17" t="s">
        <v>573</v>
      </c>
    </row>
    <row r="108" spans="1:7" ht="27" x14ac:dyDescent="0.2">
      <c r="A108" s="9" t="s">
        <v>66</v>
      </c>
      <c r="B108" s="9" t="s">
        <v>68</v>
      </c>
      <c r="C108" s="9" t="s">
        <v>65</v>
      </c>
      <c r="D108" s="9" t="s">
        <v>64</v>
      </c>
      <c r="E108" s="9" t="s">
        <v>67</v>
      </c>
      <c r="F108" s="9" t="s">
        <v>69</v>
      </c>
      <c r="G108" s="16" t="s">
        <v>573</v>
      </c>
    </row>
    <row r="109" spans="1:7" ht="27" x14ac:dyDescent="0.2">
      <c r="A109" s="9" t="s">
        <v>68</v>
      </c>
      <c r="B109" s="9" t="s">
        <v>64</v>
      </c>
      <c r="C109" s="9" t="s">
        <v>66</v>
      </c>
      <c r="D109" s="9" t="s">
        <v>67</v>
      </c>
      <c r="E109" s="9" t="s">
        <v>65</v>
      </c>
      <c r="F109" s="9" t="s">
        <v>69</v>
      </c>
      <c r="G109" s="16" t="s">
        <v>573</v>
      </c>
    </row>
    <row r="110" spans="1:7" ht="27" x14ac:dyDescent="0.2">
      <c r="A110" s="10" t="s">
        <v>64</v>
      </c>
      <c r="B110" s="10" t="s">
        <v>65</v>
      </c>
      <c r="C110" s="10" t="s">
        <v>68</v>
      </c>
      <c r="D110" s="10" t="s">
        <v>67</v>
      </c>
      <c r="E110" s="10" t="s">
        <v>66</v>
      </c>
      <c r="F110" s="10" t="s">
        <v>69</v>
      </c>
      <c r="G110" s="17" t="s">
        <v>573</v>
      </c>
    </row>
    <row r="111" spans="1:7" ht="27" x14ac:dyDescent="0.2">
      <c r="A111" s="9" t="s">
        <v>69</v>
      </c>
      <c r="B111" s="9" t="s">
        <v>68</v>
      </c>
      <c r="C111" s="9" t="s">
        <v>64</v>
      </c>
      <c r="D111" s="9" t="s">
        <v>65</v>
      </c>
      <c r="E111" s="9" t="s">
        <v>67</v>
      </c>
      <c r="F111" s="9" t="s">
        <v>66</v>
      </c>
      <c r="G111" s="16" t="s">
        <v>573</v>
      </c>
    </row>
    <row r="112" spans="1:7" ht="27" x14ac:dyDescent="0.2">
      <c r="A112" s="10" t="s">
        <v>68</v>
      </c>
      <c r="B112" s="10" t="s">
        <v>65</v>
      </c>
      <c r="C112" s="10" t="s">
        <v>64</v>
      </c>
      <c r="D112" s="10" t="s">
        <v>67</v>
      </c>
      <c r="E112" s="10" t="s">
        <v>69</v>
      </c>
      <c r="F112" s="10" t="s">
        <v>66</v>
      </c>
      <c r="G112" s="17" t="s">
        <v>573</v>
      </c>
    </row>
    <row r="113" spans="1:7" ht="27" x14ac:dyDescent="0.2">
      <c r="A113" s="9" t="s">
        <v>68</v>
      </c>
      <c r="B113" s="9" t="s">
        <v>64</v>
      </c>
      <c r="C113" s="9" t="s">
        <v>65</v>
      </c>
      <c r="D113" s="9" t="s">
        <v>66</v>
      </c>
      <c r="E113" s="9" t="s">
        <v>67</v>
      </c>
      <c r="F113" s="9" t="s">
        <v>69</v>
      </c>
      <c r="G113" s="16" t="s">
        <v>573</v>
      </c>
    </row>
    <row r="114" spans="1:7" ht="27" x14ac:dyDescent="0.2">
      <c r="A114" s="9" t="s">
        <v>66</v>
      </c>
      <c r="B114" s="9" t="s">
        <v>64</v>
      </c>
      <c r="C114" s="9" t="s">
        <v>65</v>
      </c>
      <c r="D114" s="9" t="s">
        <v>67</v>
      </c>
      <c r="E114" s="9" t="s">
        <v>68</v>
      </c>
      <c r="F114" s="9" t="s">
        <v>69</v>
      </c>
      <c r="G114" s="16" t="s">
        <v>573</v>
      </c>
    </row>
    <row r="115" spans="1:7" ht="27" x14ac:dyDescent="0.2">
      <c r="A115" s="10" t="s">
        <v>66</v>
      </c>
      <c r="B115" s="10" t="s">
        <v>64</v>
      </c>
      <c r="C115" s="10" t="s">
        <v>68</v>
      </c>
      <c r="D115" s="10" t="s">
        <v>67</v>
      </c>
      <c r="E115" s="10" t="s">
        <v>69</v>
      </c>
      <c r="F115" s="10" t="s">
        <v>65</v>
      </c>
      <c r="G115" s="17" t="s">
        <v>573</v>
      </c>
    </row>
    <row r="116" spans="1:7" ht="27" x14ac:dyDescent="0.2">
      <c r="A116" s="10" t="s">
        <v>64</v>
      </c>
      <c r="B116" s="10" t="s">
        <v>66</v>
      </c>
      <c r="C116" s="10" t="s">
        <v>68</v>
      </c>
      <c r="D116" s="10" t="s">
        <v>65</v>
      </c>
      <c r="E116" s="10" t="s">
        <v>67</v>
      </c>
      <c r="F116" s="10" t="s">
        <v>69</v>
      </c>
      <c r="G116" s="17" t="s">
        <v>573</v>
      </c>
    </row>
    <row r="117" spans="1:7" ht="27" x14ac:dyDescent="0.2">
      <c r="A117" s="9" t="s">
        <v>67</v>
      </c>
      <c r="B117" s="9" t="s">
        <v>65</v>
      </c>
      <c r="C117" s="9" t="s">
        <v>68</v>
      </c>
      <c r="D117" s="9" t="s">
        <v>66</v>
      </c>
      <c r="E117" s="9" t="s">
        <v>64</v>
      </c>
      <c r="F117" s="9" t="s">
        <v>69</v>
      </c>
      <c r="G117" s="16" t="s">
        <v>573</v>
      </c>
    </row>
    <row r="118" spans="1:7" ht="27" x14ac:dyDescent="0.2">
      <c r="A118" s="9" t="s">
        <v>66</v>
      </c>
      <c r="B118" s="9" t="s">
        <v>64</v>
      </c>
      <c r="C118" s="9" t="s">
        <v>68</v>
      </c>
      <c r="D118" s="9" t="s">
        <v>65</v>
      </c>
      <c r="E118" s="9" t="s">
        <v>67</v>
      </c>
      <c r="F118" s="9" t="s">
        <v>69</v>
      </c>
      <c r="G118" s="16" t="s">
        <v>573</v>
      </c>
    </row>
    <row r="119" spans="1:7" ht="27" x14ac:dyDescent="0.2">
      <c r="A119" s="10" t="s">
        <v>64</v>
      </c>
      <c r="B119" s="10" t="s">
        <v>68</v>
      </c>
      <c r="C119" s="10" t="s">
        <v>65</v>
      </c>
      <c r="D119" s="10" t="s">
        <v>67</v>
      </c>
      <c r="E119" s="10" t="s">
        <v>69</v>
      </c>
      <c r="F119" s="10" t="s">
        <v>66</v>
      </c>
      <c r="G119" s="17" t="s">
        <v>573</v>
      </c>
    </row>
    <row r="120" spans="1:7" ht="27" x14ac:dyDescent="0.2">
      <c r="A120" s="9" t="s">
        <v>68</v>
      </c>
      <c r="B120" s="9" t="s">
        <v>67</v>
      </c>
      <c r="C120" s="9" t="s">
        <v>64</v>
      </c>
      <c r="D120" s="9" t="s">
        <v>66</v>
      </c>
      <c r="E120" s="9" t="s">
        <v>69</v>
      </c>
      <c r="F120" s="9" t="s">
        <v>65</v>
      </c>
      <c r="G120" s="16" t="s">
        <v>573</v>
      </c>
    </row>
    <row r="121" spans="1:7" ht="27" x14ac:dyDescent="0.2">
      <c r="A121" s="10" t="s">
        <v>68</v>
      </c>
      <c r="B121" s="10" t="s">
        <v>64</v>
      </c>
      <c r="C121" s="10" t="s">
        <v>65</v>
      </c>
      <c r="D121" s="10" t="s">
        <v>67</v>
      </c>
      <c r="E121" s="10" t="s">
        <v>66</v>
      </c>
      <c r="F121" s="10" t="s">
        <v>69</v>
      </c>
      <c r="G121" s="17" t="s">
        <v>573</v>
      </c>
    </row>
    <row r="122" spans="1:7" ht="27" x14ac:dyDescent="0.2">
      <c r="A122" s="9" t="s">
        <v>66</v>
      </c>
      <c r="B122" s="9" t="s">
        <v>68</v>
      </c>
      <c r="C122" s="9" t="s">
        <v>64</v>
      </c>
      <c r="D122" s="9" t="s">
        <v>67</v>
      </c>
      <c r="E122" s="9" t="s">
        <v>65</v>
      </c>
      <c r="F122" s="9" t="s">
        <v>69</v>
      </c>
      <c r="G122" s="16" t="s">
        <v>573</v>
      </c>
    </row>
    <row r="123" spans="1:7" ht="27" x14ac:dyDescent="0.2">
      <c r="A123" s="9" t="s">
        <v>68</v>
      </c>
      <c r="B123" s="9" t="s">
        <v>65</v>
      </c>
      <c r="C123" s="9" t="s">
        <v>64</v>
      </c>
      <c r="D123" s="9" t="s">
        <v>67</v>
      </c>
      <c r="E123" s="9" t="s">
        <v>66</v>
      </c>
      <c r="F123" s="9" t="s">
        <v>69</v>
      </c>
      <c r="G123" s="16" t="s">
        <v>573</v>
      </c>
    </row>
    <row r="124" spans="1:7" ht="27" x14ac:dyDescent="0.2">
      <c r="A124" s="10" t="s">
        <v>68</v>
      </c>
      <c r="B124" s="10" t="s">
        <v>67</v>
      </c>
      <c r="C124" s="10" t="s">
        <v>65</v>
      </c>
      <c r="D124" s="10" t="s">
        <v>64</v>
      </c>
      <c r="E124" s="10" t="s">
        <v>66</v>
      </c>
      <c r="F124" s="10" t="s">
        <v>69</v>
      </c>
      <c r="G124" s="17" t="s">
        <v>573</v>
      </c>
    </row>
    <row r="125" spans="1:7" ht="27" x14ac:dyDescent="0.2">
      <c r="A125" s="9" t="s">
        <v>65</v>
      </c>
      <c r="B125" s="9" t="s">
        <v>68</v>
      </c>
      <c r="C125" s="9" t="s">
        <v>64</v>
      </c>
      <c r="D125" s="9" t="s">
        <v>66</v>
      </c>
      <c r="E125" s="9" t="s">
        <v>69</v>
      </c>
      <c r="F125" s="9" t="s">
        <v>67</v>
      </c>
      <c r="G125" s="16" t="s">
        <v>573</v>
      </c>
    </row>
    <row r="126" spans="1:7" ht="27" x14ac:dyDescent="0.2">
      <c r="A126" s="10" t="s">
        <v>66</v>
      </c>
      <c r="B126" s="10" t="s">
        <v>68</v>
      </c>
      <c r="C126" s="10" t="s">
        <v>65</v>
      </c>
      <c r="D126" s="10" t="s">
        <v>64</v>
      </c>
      <c r="E126" s="10" t="s">
        <v>69</v>
      </c>
      <c r="F126" s="10" t="s">
        <v>67</v>
      </c>
      <c r="G126" s="17" t="s">
        <v>573</v>
      </c>
    </row>
    <row r="127" spans="1:7" ht="27" x14ac:dyDescent="0.2">
      <c r="A127" s="9" t="s">
        <v>65</v>
      </c>
      <c r="B127" s="9" t="s">
        <v>67</v>
      </c>
      <c r="C127" s="9" t="s">
        <v>64</v>
      </c>
      <c r="D127" s="9" t="s">
        <v>66</v>
      </c>
      <c r="E127" s="9" t="s">
        <v>68</v>
      </c>
      <c r="F127" s="9" t="s">
        <v>69</v>
      </c>
      <c r="G127" s="16" t="s">
        <v>573</v>
      </c>
    </row>
    <row r="128" spans="1:7" ht="27" x14ac:dyDescent="0.2">
      <c r="A128" s="10" t="s">
        <v>65</v>
      </c>
      <c r="B128" s="10" t="s">
        <v>68</v>
      </c>
      <c r="C128" s="10" t="s">
        <v>64</v>
      </c>
      <c r="D128" s="10" t="s">
        <v>67</v>
      </c>
      <c r="E128" s="10" t="s">
        <v>66</v>
      </c>
      <c r="F128" s="10" t="s">
        <v>69</v>
      </c>
      <c r="G128" s="17" t="s">
        <v>573</v>
      </c>
    </row>
    <row r="129" spans="1:7" ht="27" x14ac:dyDescent="0.2">
      <c r="A129" s="9" t="s">
        <v>68</v>
      </c>
      <c r="B129" s="9" t="s">
        <v>64</v>
      </c>
      <c r="C129" s="9" t="s">
        <v>65</v>
      </c>
      <c r="D129" s="9" t="s">
        <v>67</v>
      </c>
      <c r="E129" s="9" t="s">
        <v>66</v>
      </c>
      <c r="F129" s="9" t="s">
        <v>69</v>
      </c>
      <c r="G129" s="16" t="s">
        <v>573</v>
      </c>
    </row>
    <row r="130" spans="1:7" ht="27" x14ac:dyDescent="0.2">
      <c r="A130" s="10" t="s">
        <v>64</v>
      </c>
      <c r="B130" s="10" t="s">
        <v>68</v>
      </c>
      <c r="C130" s="10" t="s">
        <v>65</v>
      </c>
      <c r="D130" s="10" t="s">
        <v>67</v>
      </c>
      <c r="E130" s="10" t="s">
        <v>66</v>
      </c>
      <c r="F130" s="10" t="s">
        <v>69</v>
      </c>
      <c r="G130" s="17" t="s">
        <v>573</v>
      </c>
    </row>
    <row r="131" spans="1:7" ht="27" x14ac:dyDescent="0.2">
      <c r="A131" s="11" t="s">
        <v>67</v>
      </c>
      <c r="B131" s="11" t="s">
        <v>66</v>
      </c>
      <c r="C131" s="11" t="s">
        <v>64</v>
      </c>
      <c r="D131" s="11" t="s">
        <v>65</v>
      </c>
      <c r="E131" s="11" t="s">
        <v>68</v>
      </c>
      <c r="F131" s="11" t="s">
        <v>69</v>
      </c>
      <c r="G131" s="16" t="s">
        <v>573</v>
      </c>
    </row>
  </sheetData>
  <autoFilter ref="A1:N132" xr:uid="{881873F2-CC37-1247-8CAF-347D76A49473}"/>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5D3B-0926-4B79-9CAB-9FB63AA7FB42}">
  <dimension ref="A3:B10"/>
  <sheetViews>
    <sheetView topLeftCell="D4" workbookViewId="0">
      <selection activeCell="O9" sqref="O9"/>
    </sheetView>
  </sheetViews>
  <sheetFormatPr baseColWidth="10" defaultColWidth="10.83203125" defaultRowHeight="15" x14ac:dyDescent="0.2"/>
  <cols>
    <col min="1" max="1" width="44"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64" x14ac:dyDescent="0.2">
      <c r="A4" s="49" t="s">
        <v>52</v>
      </c>
      <c r="B4" t="s">
        <v>485</v>
      </c>
    </row>
    <row r="5" spans="1:2" x14ac:dyDescent="0.2">
      <c r="A5" t="s">
        <v>665</v>
      </c>
      <c r="B5" s="26">
        <v>1.9867549668874173E-2</v>
      </c>
    </row>
    <row r="6" spans="1:2" x14ac:dyDescent="0.2">
      <c r="A6" t="s">
        <v>666</v>
      </c>
      <c r="B6" s="26">
        <v>3.3112582781456956E-2</v>
      </c>
    </row>
    <row r="7" spans="1:2" x14ac:dyDescent="0.2">
      <c r="A7" t="s">
        <v>667</v>
      </c>
      <c r="B7" s="26">
        <v>0.11920529801324503</v>
      </c>
    </row>
    <row r="8" spans="1:2" x14ac:dyDescent="0.2">
      <c r="A8" t="s">
        <v>668</v>
      </c>
      <c r="B8" s="26">
        <v>0.42384105960264901</v>
      </c>
    </row>
    <row r="9" spans="1:2" x14ac:dyDescent="0.2">
      <c r="A9" t="s">
        <v>669</v>
      </c>
      <c r="B9" s="26">
        <v>0.40397350993377484</v>
      </c>
    </row>
    <row r="10" spans="1:2" x14ac:dyDescent="0.2">
      <c r="A10" t="s">
        <v>6</v>
      </c>
      <c r="B10" s="26">
        <v>1</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3A2C-C57C-0848-97CD-8B97169E96AF}">
  <dimension ref="A1:G152"/>
  <sheetViews>
    <sheetView zoomScale="90" zoomScaleNormal="90" workbookViewId="0">
      <selection activeCell="F2" sqref="F2"/>
    </sheetView>
  </sheetViews>
  <sheetFormatPr baseColWidth="10" defaultColWidth="10.83203125" defaultRowHeight="15" x14ac:dyDescent="0.2"/>
  <cols>
    <col min="1" max="1" width="34.5" bestFit="1" customWidth="1"/>
    <col min="3" max="3" width="34.83203125" customWidth="1"/>
    <col min="6" max="6" width="33.1640625" customWidth="1"/>
  </cols>
  <sheetData>
    <row r="1" spans="1:7" s="31" customFormat="1" ht="65" x14ac:dyDescent="0.2">
      <c r="A1" s="34" t="s">
        <v>52</v>
      </c>
      <c r="C1" s="34" t="s">
        <v>52</v>
      </c>
      <c r="D1" s="41" t="s">
        <v>528</v>
      </c>
      <c r="F1" s="34" t="str">
        <f>$A1</f>
        <v>Pensez-vous que l'ostéopathie constitue une approche pertinente pour traiter le syndrome de Lacomme et qu’elle mérite d’être recommandée aux patientes concernées ?</v>
      </c>
      <c r="G1" s="41" t="s">
        <v>575</v>
      </c>
    </row>
    <row r="2" spans="1:7" s="31" customFormat="1" ht="16" x14ac:dyDescent="0.2">
      <c r="A2" s="35">
        <v>5</v>
      </c>
      <c r="C2" s="31" t="s">
        <v>569</v>
      </c>
      <c r="D2" s="31">
        <f>COUNTIF(A2:A152,"1")</f>
        <v>3</v>
      </c>
      <c r="F2" s="31" t="str">
        <f t="shared" ref="F2:F3" si="0">C2&amp;" "&amp;"(n="&amp;D2&amp;")"</f>
        <v>1 = Non, pas du tout  (n=3)</v>
      </c>
      <c r="G2" s="32">
        <f>D2/SUM(D$2:D$6)</f>
        <v>1.9867549668874173E-2</v>
      </c>
    </row>
    <row r="3" spans="1:7" s="31" customFormat="1" ht="16" x14ac:dyDescent="0.2">
      <c r="A3" s="36">
        <v>4</v>
      </c>
      <c r="C3" s="31" t="s">
        <v>567</v>
      </c>
      <c r="D3" s="31">
        <f>COUNTIF(A2:A152,"2")</f>
        <v>5</v>
      </c>
      <c r="F3" s="31" t="str">
        <f t="shared" si="0"/>
        <v>2 = Plutôt non  (n=5)</v>
      </c>
      <c r="G3" s="32">
        <f>D3/SUM(D$2:D$6)</f>
        <v>3.3112582781456956E-2</v>
      </c>
    </row>
    <row r="4" spans="1:7" s="31" customFormat="1" ht="16" x14ac:dyDescent="0.2">
      <c r="A4" s="35">
        <v>4</v>
      </c>
      <c r="C4" s="31" t="s">
        <v>560</v>
      </c>
      <c r="D4" s="31">
        <f>COUNTIF(A2:A152,"3")</f>
        <v>18</v>
      </c>
      <c r="F4" s="31" t="str">
        <f t="shared" ref="F4:F6" si="1">C4&amp;" "&amp;"(n="&amp;D4&amp;")"</f>
        <v>3 = Moyennement  (n=18)</v>
      </c>
      <c r="G4" s="32">
        <f>D4/SUM(D$2:D$6)</f>
        <v>0.11920529801324503</v>
      </c>
    </row>
    <row r="5" spans="1:7" s="31" customFormat="1" ht="16" x14ac:dyDescent="0.2">
      <c r="A5" s="36">
        <v>5</v>
      </c>
      <c r="C5" s="31" t="s">
        <v>568</v>
      </c>
      <c r="D5" s="31">
        <f>COUNTIF(A2:A152,"4")</f>
        <v>64</v>
      </c>
      <c r="F5" s="31" t="str">
        <f t="shared" si="1"/>
        <v>4 = Plutôt oui   (n=64)</v>
      </c>
      <c r="G5" s="32">
        <f>D5/SUM(D$2:D$6)</f>
        <v>0.42384105960264901</v>
      </c>
    </row>
    <row r="6" spans="1:7" s="31" customFormat="1" ht="16" x14ac:dyDescent="0.2">
      <c r="A6" s="35">
        <v>4</v>
      </c>
      <c r="C6" s="31" t="s">
        <v>570</v>
      </c>
      <c r="D6" s="31">
        <f>COUNTIF(A2:A152,"5")</f>
        <v>61</v>
      </c>
      <c r="F6" s="31" t="str">
        <f t="shared" si="1"/>
        <v>5 = Oui, tout à fait (n=61)</v>
      </c>
      <c r="G6" s="32">
        <f>D6/SUM(D$2:D$6)</f>
        <v>0.40397350993377484</v>
      </c>
    </row>
    <row r="7" spans="1:7" s="31" customFormat="1" x14ac:dyDescent="0.2">
      <c r="A7" s="36">
        <v>4</v>
      </c>
    </row>
    <row r="8" spans="1:7" s="31" customFormat="1" x14ac:dyDescent="0.2">
      <c r="A8" s="35">
        <v>4</v>
      </c>
      <c r="D8" s="31">
        <f>SUM(D2:D6)</f>
        <v>151</v>
      </c>
      <c r="G8" s="32">
        <f>SUM(G2:G6)</f>
        <v>1</v>
      </c>
    </row>
    <row r="9" spans="1:7" s="31" customFormat="1" x14ac:dyDescent="0.2">
      <c r="A9" s="36">
        <v>5</v>
      </c>
    </row>
    <row r="10" spans="1:7" s="31" customFormat="1" x14ac:dyDescent="0.2">
      <c r="A10" s="35">
        <v>5</v>
      </c>
    </row>
    <row r="11" spans="1:7" s="31" customFormat="1" x14ac:dyDescent="0.2">
      <c r="A11" s="36">
        <v>4</v>
      </c>
    </row>
    <row r="12" spans="1:7" s="31" customFormat="1" x14ac:dyDescent="0.2">
      <c r="A12" s="35">
        <v>4</v>
      </c>
    </row>
    <row r="13" spans="1:7" s="31" customFormat="1" x14ac:dyDescent="0.2">
      <c r="A13" s="36">
        <v>4</v>
      </c>
    </row>
    <row r="14" spans="1:7" s="31" customFormat="1" x14ac:dyDescent="0.2">
      <c r="A14" s="35">
        <v>5</v>
      </c>
    </row>
    <row r="15" spans="1:7" s="31" customFormat="1" x14ac:dyDescent="0.2">
      <c r="A15" s="36">
        <v>4</v>
      </c>
    </row>
    <row r="16" spans="1:7" s="31" customFormat="1" x14ac:dyDescent="0.2">
      <c r="A16" s="35">
        <v>5</v>
      </c>
    </row>
    <row r="17" spans="1:1" s="31" customFormat="1" x14ac:dyDescent="0.2">
      <c r="A17" s="36">
        <v>4</v>
      </c>
    </row>
    <row r="18" spans="1:1" s="31" customFormat="1" x14ac:dyDescent="0.2">
      <c r="A18" s="35">
        <v>5</v>
      </c>
    </row>
    <row r="19" spans="1:1" s="31" customFormat="1" x14ac:dyDescent="0.2">
      <c r="A19" s="36">
        <v>4</v>
      </c>
    </row>
    <row r="20" spans="1:1" s="31" customFormat="1" x14ac:dyDescent="0.2">
      <c r="A20" s="35">
        <v>5</v>
      </c>
    </row>
    <row r="21" spans="1:1" s="31" customFormat="1" x14ac:dyDescent="0.2">
      <c r="A21" s="36">
        <v>5</v>
      </c>
    </row>
    <row r="22" spans="1:1" s="31" customFormat="1" x14ac:dyDescent="0.2">
      <c r="A22" s="35">
        <v>3</v>
      </c>
    </row>
    <row r="23" spans="1:1" s="31" customFormat="1" x14ac:dyDescent="0.2">
      <c r="A23" s="36">
        <v>4</v>
      </c>
    </row>
    <row r="24" spans="1:1" s="31" customFormat="1" x14ac:dyDescent="0.2">
      <c r="A24" s="35">
        <v>3</v>
      </c>
    </row>
    <row r="25" spans="1:1" s="31" customFormat="1" x14ac:dyDescent="0.2">
      <c r="A25" s="36">
        <v>3</v>
      </c>
    </row>
    <row r="26" spans="1:1" s="31" customFormat="1" x14ac:dyDescent="0.2">
      <c r="A26" s="35">
        <v>3</v>
      </c>
    </row>
    <row r="27" spans="1:1" s="31" customFormat="1" x14ac:dyDescent="0.2">
      <c r="A27" s="36">
        <v>2</v>
      </c>
    </row>
    <row r="28" spans="1:1" s="31" customFormat="1" x14ac:dyDescent="0.2">
      <c r="A28" s="35">
        <v>4</v>
      </c>
    </row>
    <row r="29" spans="1:1" s="31" customFormat="1" x14ac:dyDescent="0.2">
      <c r="A29" s="36">
        <v>5</v>
      </c>
    </row>
    <row r="30" spans="1:1" s="31" customFormat="1" x14ac:dyDescent="0.2">
      <c r="A30" s="35">
        <v>5</v>
      </c>
    </row>
    <row r="31" spans="1:1" s="31" customFormat="1" x14ac:dyDescent="0.2">
      <c r="A31" s="36">
        <v>1</v>
      </c>
    </row>
    <row r="32" spans="1:1" s="31" customFormat="1" x14ac:dyDescent="0.2">
      <c r="A32" s="35">
        <v>4</v>
      </c>
    </row>
    <row r="33" spans="1:1" s="31" customFormat="1" x14ac:dyDescent="0.2">
      <c r="A33" s="36">
        <v>5</v>
      </c>
    </row>
    <row r="34" spans="1:1" s="31" customFormat="1" x14ac:dyDescent="0.2">
      <c r="A34" s="35">
        <v>5</v>
      </c>
    </row>
    <row r="35" spans="1:1" s="31" customFormat="1" x14ac:dyDescent="0.2">
      <c r="A35" s="36">
        <v>4</v>
      </c>
    </row>
    <row r="36" spans="1:1" s="31" customFormat="1" x14ac:dyDescent="0.2">
      <c r="A36" s="35">
        <v>5</v>
      </c>
    </row>
    <row r="37" spans="1:1" s="31" customFormat="1" x14ac:dyDescent="0.2">
      <c r="A37" s="36">
        <v>5</v>
      </c>
    </row>
    <row r="38" spans="1:1" s="31" customFormat="1" x14ac:dyDescent="0.2">
      <c r="A38" s="35">
        <v>4</v>
      </c>
    </row>
    <row r="39" spans="1:1" s="31" customFormat="1" x14ac:dyDescent="0.2">
      <c r="A39" s="36">
        <v>5</v>
      </c>
    </row>
    <row r="40" spans="1:1" s="31" customFormat="1" x14ac:dyDescent="0.2">
      <c r="A40" s="35">
        <v>4</v>
      </c>
    </row>
    <row r="41" spans="1:1" s="31" customFormat="1" x14ac:dyDescent="0.2">
      <c r="A41" s="36">
        <v>5</v>
      </c>
    </row>
    <row r="42" spans="1:1" s="31" customFormat="1" x14ac:dyDescent="0.2">
      <c r="A42" s="35">
        <v>4</v>
      </c>
    </row>
    <row r="43" spans="1:1" s="31" customFormat="1" x14ac:dyDescent="0.2">
      <c r="A43" s="36">
        <v>5</v>
      </c>
    </row>
    <row r="44" spans="1:1" s="31" customFormat="1" x14ac:dyDescent="0.2">
      <c r="A44" s="35">
        <v>2</v>
      </c>
    </row>
    <row r="45" spans="1:1" s="31" customFormat="1" x14ac:dyDescent="0.2">
      <c r="A45" s="36">
        <v>4</v>
      </c>
    </row>
    <row r="46" spans="1:1" s="31" customFormat="1" x14ac:dyDescent="0.2">
      <c r="A46" s="35">
        <v>5</v>
      </c>
    </row>
    <row r="47" spans="1:1" s="31" customFormat="1" x14ac:dyDescent="0.2">
      <c r="A47" s="36">
        <v>5</v>
      </c>
    </row>
    <row r="48" spans="1:1" s="31" customFormat="1" x14ac:dyDescent="0.2">
      <c r="A48" s="35">
        <v>4</v>
      </c>
    </row>
    <row r="49" spans="1:1" s="31" customFormat="1" x14ac:dyDescent="0.2">
      <c r="A49" s="36">
        <v>3</v>
      </c>
    </row>
    <row r="50" spans="1:1" s="31" customFormat="1" x14ac:dyDescent="0.2">
      <c r="A50" s="35">
        <v>4</v>
      </c>
    </row>
    <row r="51" spans="1:1" s="31" customFormat="1" x14ac:dyDescent="0.2">
      <c r="A51" s="36">
        <v>4</v>
      </c>
    </row>
    <row r="52" spans="1:1" s="31" customFormat="1" x14ac:dyDescent="0.2">
      <c r="A52" s="35">
        <v>3</v>
      </c>
    </row>
    <row r="53" spans="1:1" s="31" customFormat="1" x14ac:dyDescent="0.2">
      <c r="A53" s="36">
        <v>4</v>
      </c>
    </row>
    <row r="54" spans="1:1" s="31" customFormat="1" x14ac:dyDescent="0.2">
      <c r="A54" s="35">
        <v>5</v>
      </c>
    </row>
    <row r="55" spans="1:1" s="31" customFormat="1" x14ac:dyDescent="0.2">
      <c r="A55" s="36">
        <v>3</v>
      </c>
    </row>
    <row r="56" spans="1:1" s="31" customFormat="1" x14ac:dyDescent="0.2">
      <c r="A56" s="35">
        <v>4</v>
      </c>
    </row>
    <row r="57" spans="1:1" s="31" customFormat="1" x14ac:dyDescent="0.2">
      <c r="A57" s="36">
        <v>5</v>
      </c>
    </row>
    <row r="58" spans="1:1" s="31" customFormat="1" x14ac:dyDescent="0.2">
      <c r="A58" s="35">
        <v>4</v>
      </c>
    </row>
    <row r="59" spans="1:1" s="31" customFormat="1" x14ac:dyDescent="0.2">
      <c r="A59" s="36">
        <v>4</v>
      </c>
    </row>
    <row r="60" spans="1:1" s="31" customFormat="1" x14ac:dyDescent="0.2">
      <c r="A60" s="35">
        <v>4</v>
      </c>
    </row>
    <row r="61" spans="1:1" s="31" customFormat="1" x14ac:dyDescent="0.2">
      <c r="A61" s="36">
        <v>5</v>
      </c>
    </row>
    <row r="62" spans="1:1" s="31" customFormat="1" x14ac:dyDescent="0.2">
      <c r="A62" s="35">
        <v>4</v>
      </c>
    </row>
    <row r="63" spans="1:1" s="31" customFormat="1" x14ac:dyDescent="0.2">
      <c r="A63" s="36">
        <v>4</v>
      </c>
    </row>
    <row r="64" spans="1:1" s="31" customFormat="1" x14ac:dyDescent="0.2">
      <c r="A64" s="35">
        <v>3</v>
      </c>
    </row>
    <row r="65" spans="1:1" s="31" customFormat="1" x14ac:dyDescent="0.2">
      <c r="A65" s="36">
        <v>3</v>
      </c>
    </row>
    <row r="66" spans="1:1" s="31" customFormat="1" x14ac:dyDescent="0.2">
      <c r="A66" s="35">
        <v>4</v>
      </c>
    </row>
    <row r="67" spans="1:1" s="31" customFormat="1" x14ac:dyDescent="0.2">
      <c r="A67" s="36">
        <v>2</v>
      </c>
    </row>
    <row r="68" spans="1:1" s="31" customFormat="1" x14ac:dyDescent="0.2">
      <c r="A68" s="35">
        <v>4</v>
      </c>
    </row>
    <row r="69" spans="1:1" s="31" customFormat="1" x14ac:dyDescent="0.2">
      <c r="A69" s="36">
        <v>5</v>
      </c>
    </row>
    <row r="70" spans="1:1" s="31" customFormat="1" x14ac:dyDescent="0.2">
      <c r="A70" s="35">
        <v>5</v>
      </c>
    </row>
    <row r="71" spans="1:1" s="31" customFormat="1" x14ac:dyDescent="0.2">
      <c r="A71" s="36">
        <v>4</v>
      </c>
    </row>
    <row r="72" spans="1:1" s="31" customFormat="1" x14ac:dyDescent="0.2">
      <c r="A72" s="35">
        <v>4</v>
      </c>
    </row>
    <row r="73" spans="1:1" s="31" customFormat="1" x14ac:dyDescent="0.2">
      <c r="A73" s="36">
        <v>5</v>
      </c>
    </row>
    <row r="74" spans="1:1" s="31" customFormat="1" x14ac:dyDescent="0.2">
      <c r="A74" s="35">
        <v>3</v>
      </c>
    </row>
    <row r="75" spans="1:1" s="31" customFormat="1" x14ac:dyDescent="0.2">
      <c r="A75" s="36">
        <v>4</v>
      </c>
    </row>
    <row r="76" spans="1:1" s="31" customFormat="1" x14ac:dyDescent="0.2">
      <c r="A76" s="35">
        <v>5</v>
      </c>
    </row>
    <row r="77" spans="1:1" s="31" customFormat="1" x14ac:dyDescent="0.2">
      <c r="A77" s="36">
        <v>3</v>
      </c>
    </row>
    <row r="78" spans="1:1" s="31" customFormat="1" x14ac:dyDescent="0.2">
      <c r="A78" s="35">
        <v>5</v>
      </c>
    </row>
    <row r="79" spans="1:1" s="31" customFormat="1" x14ac:dyDescent="0.2">
      <c r="A79" s="36">
        <v>4</v>
      </c>
    </row>
    <row r="80" spans="1:1" s="31" customFormat="1" x14ac:dyDescent="0.2">
      <c r="A80" s="35">
        <v>1</v>
      </c>
    </row>
    <row r="81" spans="1:1" s="31" customFormat="1" x14ac:dyDescent="0.2">
      <c r="A81" s="36">
        <v>4</v>
      </c>
    </row>
    <row r="82" spans="1:1" s="31" customFormat="1" x14ac:dyDescent="0.2">
      <c r="A82" s="35">
        <v>4</v>
      </c>
    </row>
    <row r="83" spans="1:1" s="31" customFormat="1" x14ac:dyDescent="0.2">
      <c r="A83" s="36">
        <v>5</v>
      </c>
    </row>
    <row r="84" spans="1:1" s="31" customFormat="1" x14ac:dyDescent="0.2">
      <c r="A84" s="35">
        <v>3</v>
      </c>
    </row>
    <row r="85" spans="1:1" s="31" customFormat="1" x14ac:dyDescent="0.2">
      <c r="A85" s="36">
        <v>1</v>
      </c>
    </row>
    <row r="86" spans="1:1" s="31" customFormat="1" x14ac:dyDescent="0.2">
      <c r="A86" s="35">
        <v>4</v>
      </c>
    </row>
    <row r="87" spans="1:1" s="31" customFormat="1" x14ac:dyDescent="0.2">
      <c r="A87" s="36">
        <v>5</v>
      </c>
    </row>
    <row r="88" spans="1:1" s="31" customFormat="1" x14ac:dyDescent="0.2">
      <c r="A88" s="35">
        <v>5</v>
      </c>
    </row>
    <row r="89" spans="1:1" s="31" customFormat="1" x14ac:dyDescent="0.2">
      <c r="A89" s="36">
        <v>5</v>
      </c>
    </row>
    <row r="90" spans="1:1" s="31" customFormat="1" x14ac:dyDescent="0.2">
      <c r="A90" s="35">
        <v>4</v>
      </c>
    </row>
    <row r="91" spans="1:1" s="31" customFormat="1" x14ac:dyDescent="0.2">
      <c r="A91" s="36">
        <v>5</v>
      </c>
    </row>
    <row r="92" spans="1:1" s="31" customFormat="1" x14ac:dyDescent="0.2">
      <c r="A92" s="35">
        <v>5</v>
      </c>
    </row>
    <row r="93" spans="1:1" s="31" customFormat="1" x14ac:dyDescent="0.2">
      <c r="A93" s="36">
        <v>4</v>
      </c>
    </row>
    <row r="94" spans="1:1" s="31" customFormat="1" x14ac:dyDescent="0.2">
      <c r="A94" s="35">
        <v>4</v>
      </c>
    </row>
    <row r="95" spans="1:1" s="31" customFormat="1" x14ac:dyDescent="0.2">
      <c r="A95" s="36">
        <v>5</v>
      </c>
    </row>
    <row r="96" spans="1:1" s="31" customFormat="1" x14ac:dyDescent="0.2">
      <c r="A96" s="35">
        <v>4</v>
      </c>
    </row>
    <row r="97" spans="1:1" s="31" customFormat="1" x14ac:dyDescent="0.2">
      <c r="A97" s="36">
        <v>5</v>
      </c>
    </row>
    <row r="98" spans="1:1" s="31" customFormat="1" x14ac:dyDescent="0.2">
      <c r="A98" s="35">
        <v>5</v>
      </c>
    </row>
    <row r="99" spans="1:1" s="31" customFormat="1" x14ac:dyDescent="0.2">
      <c r="A99" s="36">
        <v>5</v>
      </c>
    </row>
    <row r="100" spans="1:1" s="31" customFormat="1" x14ac:dyDescent="0.2">
      <c r="A100" s="35">
        <v>5</v>
      </c>
    </row>
    <row r="101" spans="1:1" s="31" customFormat="1" x14ac:dyDescent="0.2">
      <c r="A101" s="36">
        <v>3</v>
      </c>
    </row>
    <row r="102" spans="1:1" s="31" customFormat="1" x14ac:dyDescent="0.2">
      <c r="A102" s="35">
        <v>5</v>
      </c>
    </row>
    <row r="103" spans="1:1" s="31" customFormat="1" x14ac:dyDescent="0.2">
      <c r="A103" s="36">
        <v>4</v>
      </c>
    </row>
    <row r="104" spans="1:1" s="31" customFormat="1" x14ac:dyDescent="0.2">
      <c r="A104" s="35">
        <v>5</v>
      </c>
    </row>
    <row r="105" spans="1:1" s="31" customFormat="1" x14ac:dyDescent="0.2">
      <c r="A105" s="36">
        <v>5</v>
      </c>
    </row>
    <row r="106" spans="1:1" s="31" customFormat="1" x14ac:dyDescent="0.2">
      <c r="A106" s="35">
        <v>5</v>
      </c>
    </row>
    <row r="107" spans="1:1" s="31" customFormat="1" x14ac:dyDescent="0.2">
      <c r="A107" s="36">
        <v>4</v>
      </c>
    </row>
    <row r="108" spans="1:1" s="31" customFormat="1" x14ac:dyDescent="0.2">
      <c r="A108" s="35">
        <v>4</v>
      </c>
    </row>
    <row r="109" spans="1:1" s="31" customFormat="1" x14ac:dyDescent="0.2">
      <c r="A109" s="36">
        <v>3</v>
      </c>
    </row>
    <row r="110" spans="1:1" s="31" customFormat="1" x14ac:dyDescent="0.2">
      <c r="A110" s="35">
        <v>5</v>
      </c>
    </row>
    <row r="111" spans="1:1" s="31" customFormat="1" x14ac:dyDescent="0.2">
      <c r="A111" s="36">
        <v>5</v>
      </c>
    </row>
    <row r="112" spans="1:1" s="31" customFormat="1" x14ac:dyDescent="0.2">
      <c r="A112" s="35">
        <v>4</v>
      </c>
    </row>
    <row r="113" spans="1:1" s="31" customFormat="1" x14ac:dyDescent="0.2">
      <c r="A113" s="36">
        <v>5</v>
      </c>
    </row>
    <row r="114" spans="1:1" s="31" customFormat="1" x14ac:dyDescent="0.2">
      <c r="A114" s="35">
        <v>4</v>
      </c>
    </row>
    <row r="115" spans="1:1" s="31" customFormat="1" x14ac:dyDescent="0.2">
      <c r="A115" s="36">
        <v>4</v>
      </c>
    </row>
    <row r="116" spans="1:1" s="31" customFormat="1" x14ac:dyDescent="0.2">
      <c r="A116" s="35">
        <v>4</v>
      </c>
    </row>
    <row r="117" spans="1:1" s="31" customFormat="1" x14ac:dyDescent="0.2">
      <c r="A117" s="36">
        <v>2</v>
      </c>
    </row>
    <row r="118" spans="1:1" s="31" customFormat="1" x14ac:dyDescent="0.2">
      <c r="A118" s="35">
        <v>5</v>
      </c>
    </row>
    <row r="119" spans="1:1" s="31" customFormat="1" x14ac:dyDescent="0.2">
      <c r="A119" s="36">
        <v>5</v>
      </c>
    </row>
    <row r="120" spans="1:1" s="31" customFormat="1" x14ac:dyDescent="0.2">
      <c r="A120" s="35">
        <v>5</v>
      </c>
    </row>
    <row r="121" spans="1:1" s="31" customFormat="1" x14ac:dyDescent="0.2">
      <c r="A121" s="36">
        <v>4</v>
      </c>
    </row>
    <row r="122" spans="1:1" s="31" customFormat="1" x14ac:dyDescent="0.2">
      <c r="A122" s="35">
        <v>5</v>
      </c>
    </row>
    <row r="123" spans="1:1" s="31" customFormat="1" x14ac:dyDescent="0.2">
      <c r="A123" s="36">
        <v>5</v>
      </c>
    </row>
    <row r="124" spans="1:1" s="31" customFormat="1" x14ac:dyDescent="0.2">
      <c r="A124" s="35">
        <v>4</v>
      </c>
    </row>
    <row r="125" spans="1:1" s="31" customFormat="1" x14ac:dyDescent="0.2">
      <c r="A125" s="36">
        <v>4</v>
      </c>
    </row>
    <row r="126" spans="1:1" s="31" customFormat="1" x14ac:dyDescent="0.2">
      <c r="A126" s="35">
        <v>4</v>
      </c>
    </row>
    <row r="127" spans="1:1" s="31" customFormat="1" x14ac:dyDescent="0.2">
      <c r="A127" s="36">
        <v>4</v>
      </c>
    </row>
    <row r="128" spans="1:1" s="31" customFormat="1" x14ac:dyDescent="0.2">
      <c r="A128" s="35">
        <v>4</v>
      </c>
    </row>
    <row r="129" spans="1:1" s="31" customFormat="1" x14ac:dyDescent="0.2">
      <c r="A129" s="36">
        <v>5</v>
      </c>
    </row>
    <row r="130" spans="1:1" s="31" customFormat="1" x14ac:dyDescent="0.2">
      <c r="A130" s="35">
        <v>5</v>
      </c>
    </row>
    <row r="131" spans="1:1" s="31" customFormat="1" x14ac:dyDescent="0.2">
      <c r="A131" s="36">
        <v>3</v>
      </c>
    </row>
    <row r="132" spans="1:1" s="31" customFormat="1" x14ac:dyDescent="0.2">
      <c r="A132" s="35">
        <v>4</v>
      </c>
    </row>
    <row r="133" spans="1:1" s="31" customFormat="1" x14ac:dyDescent="0.2">
      <c r="A133" s="36">
        <v>5</v>
      </c>
    </row>
    <row r="134" spans="1:1" s="31" customFormat="1" x14ac:dyDescent="0.2">
      <c r="A134" s="35">
        <v>5</v>
      </c>
    </row>
    <row r="135" spans="1:1" s="31" customFormat="1" x14ac:dyDescent="0.2">
      <c r="A135" s="36">
        <v>4</v>
      </c>
    </row>
    <row r="136" spans="1:1" s="31" customFormat="1" x14ac:dyDescent="0.2">
      <c r="A136" s="35">
        <v>5</v>
      </c>
    </row>
    <row r="137" spans="1:1" s="31" customFormat="1" x14ac:dyDescent="0.2">
      <c r="A137" s="36">
        <v>5</v>
      </c>
    </row>
    <row r="138" spans="1:1" s="31" customFormat="1" x14ac:dyDescent="0.2">
      <c r="A138" s="35">
        <v>3</v>
      </c>
    </row>
    <row r="139" spans="1:1" s="31" customFormat="1" x14ac:dyDescent="0.2">
      <c r="A139" s="36">
        <v>4</v>
      </c>
    </row>
    <row r="140" spans="1:1" s="31" customFormat="1" x14ac:dyDescent="0.2">
      <c r="A140" s="35">
        <v>5</v>
      </c>
    </row>
    <row r="141" spans="1:1" s="31" customFormat="1" x14ac:dyDescent="0.2">
      <c r="A141" s="36">
        <v>4</v>
      </c>
    </row>
    <row r="142" spans="1:1" s="31" customFormat="1" x14ac:dyDescent="0.2">
      <c r="A142" s="35">
        <v>2</v>
      </c>
    </row>
    <row r="143" spans="1:1" s="31" customFormat="1" x14ac:dyDescent="0.2">
      <c r="A143" s="36">
        <v>5</v>
      </c>
    </row>
    <row r="144" spans="1:1" s="31" customFormat="1" x14ac:dyDescent="0.2">
      <c r="A144" s="35">
        <v>4</v>
      </c>
    </row>
    <row r="145" spans="1:1" s="31" customFormat="1" x14ac:dyDescent="0.2">
      <c r="A145" s="36">
        <v>4</v>
      </c>
    </row>
    <row r="146" spans="1:1" s="31" customFormat="1" x14ac:dyDescent="0.2">
      <c r="A146" s="35">
        <v>4</v>
      </c>
    </row>
    <row r="147" spans="1:1" s="31" customFormat="1" x14ac:dyDescent="0.2">
      <c r="A147" s="36">
        <v>4</v>
      </c>
    </row>
    <row r="148" spans="1:1" s="31" customFormat="1" x14ac:dyDescent="0.2">
      <c r="A148" s="35">
        <v>5</v>
      </c>
    </row>
    <row r="149" spans="1:1" s="31" customFormat="1" x14ac:dyDescent="0.2">
      <c r="A149" s="36">
        <v>5</v>
      </c>
    </row>
    <row r="150" spans="1:1" s="31" customFormat="1" x14ac:dyDescent="0.2">
      <c r="A150" s="35">
        <v>4</v>
      </c>
    </row>
    <row r="151" spans="1:1" s="31" customFormat="1" x14ac:dyDescent="0.2">
      <c r="A151" s="36">
        <v>3</v>
      </c>
    </row>
    <row r="152" spans="1:1" s="31" customFormat="1" x14ac:dyDescent="0.2">
      <c r="A152" s="37">
        <v>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6945-962B-4447-881A-11229847220D}">
  <dimension ref="A3:E9"/>
  <sheetViews>
    <sheetView topLeftCell="D10" workbookViewId="0">
      <selection activeCell="D3" sqref="D3:E6"/>
    </sheetView>
  </sheetViews>
  <sheetFormatPr baseColWidth="10" defaultColWidth="11.83203125" defaultRowHeight="15" x14ac:dyDescent="0.2"/>
  <cols>
    <col min="1" max="1" width="45" bestFit="1" customWidth="1"/>
    <col min="2" max="2" width="19.33203125" customWidth="1"/>
    <col min="3" max="3" width="11.83203125" customWidth="1"/>
    <col min="4" max="4" width="54.5" bestFit="1" customWidth="1"/>
    <col min="5" max="5" width="15.5" customWidth="1"/>
  </cols>
  <sheetData>
    <row r="3" spans="1:5" s="41" customFormat="1" ht="32" x14ac:dyDescent="0.2">
      <c r="A3" s="65" t="s">
        <v>25</v>
      </c>
      <c r="B3" s="64" t="s">
        <v>592</v>
      </c>
      <c r="E3" s="48" t="str">
        <f>A3</f>
        <v>Si oui, à quel moment ?</v>
      </c>
    </row>
    <row r="4" spans="1:5" x14ac:dyDescent="0.2">
      <c r="A4" s="1" t="s">
        <v>26</v>
      </c>
      <c r="B4" s="2">
        <v>97</v>
      </c>
      <c r="D4" t="str">
        <f>A4&amp;" "&amp;"(n="&amp;B4&amp;")"</f>
        <v>Dès les premiers symptômes (n=97)</v>
      </c>
      <c r="E4" s="25">
        <f>B4/B$9</f>
        <v>0.67361111111111116</v>
      </c>
    </row>
    <row r="5" spans="1:5" x14ac:dyDescent="0.2">
      <c r="A5" s="28" t="s">
        <v>27</v>
      </c>
      <c r="B5" s="29">
        <v>36</v>
      </c>
      <c r="D5" t="str">
        <f>A5&amp;" "&amp;"(n="&amp;B5&amp;")"</f>
        <v>En cas d’absence de réussite d’autres prises en charge (n=36)</v>
      </c>
      <c r="E5" s="25">
        <f>B5/B$9</f>
        <v>0.25</v>
      </c>
    </row>
    <row r="6" spans="1:5" x14ac:dyDescent="0.2">
      <c r="A6" s="28" t="s">
        <v>30</v>
      </c>
      <c r="B6" s="29">
        <v>1</v>
      </c>
      <c r="D6" t="str">
        <f>A6&amp;" "&amp;"(n="&amp;B6&amp;")"</f>
        <v>Prise en charge prénatale et post-partum (n=1)</v>
      </c>
      <c r="E6" s="25">
        <f>B6/B$9</f>
        <v>6.9444444444444441E-3</v>
      </c>
    </row>
    <row r="7" spans="1:5" x14ac:dyDescent="0.2">
      <c r="A7" s="28" t="s">
        <v>28</v>
      </c>
      <c r="B7" s="29">
        <v>9</v>
      </c>
      <c r="D7" t="str">
        <f>A7&amp;" "&amp;"(n="&amp;B7&amp;")"</f>
        <v>En fin de grossesse (n=9)</v>
      </c>
      <c r="E7" s="25">
        <f>B7/B$9</f>
        <v>6.25E-2</v>
      </c>
    </row>
    <row r="8" spans="1:5" x14ac:dyDescent="0.2">
      <c r="A8" s="28" t="s">
        <v>29</v>
      </c>
      <c r="B8" s="29">
        <v>1</v>
      </c>
      <c r="D8" t="str">
        <f>A8&amp;" "&amp;"(n="&amp;B8&amp;")"</f>
        <v>En post-partum (n=1)</v>
      </c>
      <c r="E8" s="25">
        <f>B8/B$9</f>
        <v>6.9444444444444441E-3</v>
      </c>
    </row>
    <row r="9" spans="1:5" x14ac:dyDescent="0.2">
      <c r="A9" s="30" t="s">
        <v>6</v>
      </c>
      <c r="B9" s="7">
        <v>144</v>
      </c>
      <c r="E9" s="25">
        <f>SUM(E4:E8)</f>
        <v>1</v>
      </c>
    </row>
  </sheetData>
  <pageMargins left="0.70000000000000007" right="0.70000000000000007" top="0.75" bottom="0.75" header="0.30000000000000004" footer="0.30000000000000004"/>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8331-C338-40C7-BF6F-F7FDFE3EE273}">
  <dimension ref="A3:B10"/>
  <sheetViews>
    <sheetView topLeftCell="D4" workbookViewId="0">
      <selection activeCell="C14" sqref="C14"/>
    </sheetView>
  </sheetViews>
  <sheetFormatPr baseColWidth="10" defaultColWidth="10.83203125" defaultRowHeight="15" x14ac:dyDescent="0.2"/>
  <cols>
    <col min="1" max="1" width="45.5"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48" x14ac:dyDescent="0.2">
      <c r="A4" s="49" t="s">
        <v>53</v>
      </c>
      <c r="B4" t="s">
        <v>485</v>
      </c>
    </row>
    <row r="5" spans="1:2" x14ac:dyDescent="0.2">
      <c r="A5" t="s">
        <v>660</v>
      </c>
      <c r="B5" s="26">
        <v>0.29801324503311261</v>
      </c>
    </row>
    <row r="6" spans="1:2" x14ac:dyDescent="0.2">
      <c r="A6" t="s">
        <v>661</v>
      </c>
      <c r="B6" s="26">
        <v>0.41059602649006621</v>
      </c>
    </row>
    <row r="7" spans="1:2" x14ac:dyDescent="0.2">
      <c r="A7" t="s">
        <v>662</v>
      </c>
      <c r="B7" s="26">
        <v>0.20529801324503311</v>
      </c>
    </row>
    <row r="8" spans="1:2" x14ac:dyDescent="0.2">
      <c r="A8" t="s">
        <v>663</v>
      </c>
      <c r="B8" s="26">
        <v>7.9470198675496692E-2</v>
      </c>
    </row>
    <row r="9" spans="1:2" x14ac:dyDescent="0.2">
      <c r="A9" t="s">
        <v>664</v>
      </c>
      <c r="B9" s="26">
        <v>6.6225165562913907E-3</v>
      </c>
    </row>
    <row r="10" spans="1:2" x14ac:dyDescent="0.2">
      <c r="A10" t="s">
        <v>6</v>
      </c>
      <c r="B10" s="26">
        <v>1</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68B5-4C4F-3A4D-8A02-A9105ACBFE64}">
  <dimension ref="A1:G152"/>
  <sheetViews>
    <sheetView workbookViewId="0">
      <selection activeCell="F1" sqref="F1:G3"/>
    </sheetView>
  </sheetViews>
  <sheetFormatPr baseColWidth="10" defaultColWidth="10.83203125" defaultRowHeight="15" x14ac:dyDescent="0.2"/>
  <cols>
    <col min="1" max="1" width="38.83203125" customWidth="1"/>
    <col min="3" max="3" width="36" customWidth="1"/>
    <col min="6" max="6" width="36.5" customWidth="1"/>
  </cols>
  <sheetData>
    <row r="1" spans="1:7" s="31" customFormat="1" ht="52" x14ac:dyDescent="0.2">
      <c r="A1" s="34" t="s">
        <v>53</v>
      </c>
      <c r="C1" s="34" t="s">
        <v>53</v>
      </c>
      <c r="D1" s="41" t="s">
        <v>528</v>
      </c>
      <c r="F1" s="34" t="str">
        <f>$A1</f>
        <v>Pensez-vous que les patientes sont suffisamment informées sur les possibilités de prises en charge ostéopathiques du syndrome de Lacomme ?</v>
      </c>
      <c r="G1" s="41" t="s">
        <v>575</v>
      </c>
    </row>
    <row r="2" spans="1:7" s="31" customFormat="1" ht="16" x14ac:dyDescent="0.2">
      <c r="A2" s="35">
        <v>1</v>
      </c>
      <c r="C2" s="31" t="s">
        <v>569</v>
      </c>
      <c r="D2" s="31">
        <f>COUNTIF(A2:A152,"1")</f>
        <v>45</v>
      </c>
      <c r="F2" s="31" t="str">
        <f t="shared" ref="F2" si="0">C2&amp;" "&amp;"(n="&amp;D2&amp;")"</f>
        <v>1 = Non, pas du tout  (n=45)</v>
      </c>
      <c r="G2" s="32">
        <f>D2/SUM(D$2:D$6)</f>
        <v>0.29801324503311261</v>
      </c>
    </row>
    <row r="3" spans="1:7" s="31" customFormat="1" ht="16" x14ac:dyDescent="0.2">
      <c r="A3" s="36">
        <v>2</v>
      </c>
      <c r="C3" s="31" t="s">
        <v>567</v>
      </c>
      <c r="D3" s="31">
        <f>COUNTIF(A2:A152,"2")</f>
        <v>62</v>
      </c>
      <c r="F3" s="31" t="str">
        <f t="shared" ref="F3:F6" si="1">C3&amp;" "&amp;"(n="&amp;D3&amp;")"</f>
        <v>2 = Plutôt non  (n=62)</v>
      </c>
      <c r="G3" s="32">
        <f>D3/SUM(D$2:D$6)</f>
        <v>0.41059602649006621</v>
      </c>
    </row>
    <row r="4" spans="1:7" s="31" customFormat="1" ht="16" x14ac:dyDescent="0.2">
      <c r="A4" s="35">
        <v>2</v>
      </c>
      <c r="C4" s="31" t="s">
        <v>571</v>
      </c>
      <c r="D4" s="31">
        <f>COUNTIF(A2:A152,"3")</f>
        <v>31</v>
      </c>
      <c r="F4" s="31" t="str">
        <f t="shared" si="1"/>
        <v>3 = Moyennement   (n=31)</v>
      </c>
      <c r="G4" s="32">
        <f>D4/SUM(D$2:D$6)</f>
        <v>0.20529801324503311</v>
      </c>
    </row>
    <row r="5" spans="1:7" s="31" customFormat="1" ht="16" x14ac:dyDescent="0.2">
      <c r="A5" s="36">
        <v>3</v>
      </c>
      <c r="C5" s="31" t="s">
        <v>559</v>
      </c>
      <c r="D5" s="31">
        <f>COUNTIF(A2:A152,"4")</f>
        <v>12</v>
      </c>
      <c r="F5" s="31" t="str">
        <f t="shared" si="1"/>
        <v>4 = Plutôt oui  (n=12)</v>
      </c>
      <c r="G5" s="32">
        <f>D5/SUM(D$2:D$6)</f>
        <v>7.9470198675496692E-2</v>
      </c>
    </row>
    <row r="6" spans="1:7" s="31" customFormat="1" ht="16" x14ac:dyDescent="0.2">
      <c r="A6" s="35">
        <v>1</v>
      </c>
      <c r="C6" s="31" t="s">
        <v>572</v>
      </c>
      <c r="D6" s="31">
        <f>COUNTIF(A2:A152,"5")</f>
        <v>1</v>
      </c>
      <c r="F6" s="31" t="str">
        <f t="shared" si="1"/>
        <v>5 = Oui, tout à fait   (n=1)</v>
      </c>
      <c r="G6" s="32">
        <f>D6/SUM(D$2:D$6)</f>
        <v>6.6225165562913907E-3</v>
      </c>
    </row>
    <row r="7" spans="1:7" s="31" customFormat="1" x14ac:dyDescent="0.2">
      <c r="A7" s="36">
        <v>3</v>
      </c>
    </row>
    <row r="8" spans="1:7" s="31" customFormat="1" x14ac:dyDescent="0.2">
      <c r="A8" s="35">
        <v>2</v>
      </c>
      <c r="D8" s="31">
        <f>SUM(D2:D6)</f>
        <v>151</v>
      </c>
      <c r="G8" s="32">
        <f>SUM(G2:G6)</f>
        <v>1</v>
      </c>
    </row>
    <row r="9" spans="1:7" s="31" customFormat="1" x14ac:dyDescent="0.2">
      <c r="A9" s="36">
        <v>1</v>
      </c>
    </row>
    <row r="10" spans="1:7" s="31" customFormat="1" x14ac:dyDescent="0.2">
      <c r="A10" s="35">
        <v>2</v>
      </c>
    </row>
    <row r="11" spans="1:7" s="31" customFormat="1" x14ac:dyDescent="0.2">
      <c r="A11" s="36">
        <v>1</v>
      </c>
    </row>
    <row r="12" spans="1:7" s="31" customFormat="1" x14ac:dyDescent="0.2">
      <c r="A12" s="35">
        <v>2</v>
      </c>
    </row>
    <row r="13" spans="1:7" s="31" customFormat="1" x14ac:dyDescent="0.2">
      <c r="A13" s="36">
        <v>1</v>
      </c>
    </row>
    <row r="14" spans="1:7" s="31" customFormat="1" x14ac:dyDescent="0.2">
      <c r="A14" s="35">
        <v>3</v>
      </c>
    </row>
    <row r="15" spans="1:7" s="31" customFormat="1" x14ac:dyDescent="0.2">
      <c r="A15" s="36">
        <v>1</v>
      </c>
    </row>
    <row r="16" spans="1:7" s="31" customFormat="1" x14ac:dyDescent="0.2">
      <c r="A16" s="35">
        <v>2</v>
      </c>
    </row>
    <row r="17" spans="1:1" s="31" customFormat="1" x14ac:dyDescent="0.2">
      <c r="A17" s="36">
        <v>2</v>
      </c>
    </row>
    <row r="18" spans="1:1" s="31" customFormat="1" x14ac:dyDescent="0.2">
      <c r="A18" s="35">
        <v>2</v>
      </c>
    </row>
    <row r="19" spans="1:1" s="31" customFormat="1" x14ac:dyDescent="0.2">
      <c r="A19" s="36">
        <v>3</v>
      </c>
    </row>
    <row r="20" spans="1:1" s="31" customFormat="1" x14ac:dyDescent="0.2">
      <c r="A20" s="35">
        <v>3</v>
      </c>
    </row>
    <row r="21" spans="1:1" s="31" customFormat="1" x14ac:dyDescent="0.2">
      <c r="A21" s="36">
        <v>2</v>
      </c>
    </row>
    <row r="22" spans="1:1" s="31" customFormat="1" x14ac:dyDescent="0.2">
      <c r="A22" s="35">
        <v>2</v>
      </c>
    </row>
    <row r="23" spans="1:1" s="31" customFormat="1" x14ac:dyDescent="0.2">
      <c r="A23" s="36">
        <v>1</v>
      </c>
    </row>
    <row r="24" spans="1:1" s="31" customFormat="1" x14ac:dyDescent="0.2">
      <c r="A24" s="35">
        <v>4</v>
      </c>
    </row>
    <row r="25" spans="1:1" s="31" customFormat="1" x14ac:dyDescent="0.2">
      <c r="A25" s="36">
        <v>2</v>
      </c>
    </row>
    <row r="26" spans="1:1" s="31" customFormat="1" x14ac:dyDescent="0.2">
      <c r="A26" s="35">
        <v>4</v>
      </c>
    </row>
    <row r="27" spans="1:1" s="31" customFormat="1" x14ac:dyDescent="0.2">
      <c r="A27" s="36">
        <v>1</v>
      </c>
    </row>
    <row r="28" spans="1:1" s="31" customFormat="1" x14ac:dyDescent="0.2">
      <c r="A28" s="35">
        <v>4</v>
      </c>
    </row>
    <row r="29" spans="1:1" s="31" customFormat="1" x14ac:dyDescent="0.2">
      <c r="A29" s="36">
        <v>2</v>
      </c>
    </row>
    <row r="30" spans="1:1" s="31" customFormat="1" x14ac:dyDescent="0.2">
      <c r="A30" s="35">
        <v>3</v>
      </c>
    </row>
    <row r="31" spans="1:1" s="31" customFormat="1" x14ac:dyDescent="0.2">
      <c r="A31" s="36">
        <v>3</v>
      </c>
    </row>
    <row r="32" spans="1:1" s="31" customFormat="1" x14ac:dyDescent="0.2">
      <c r="A32" s="35">
        <v>3</v>
      </c>
    </row>
    <row r="33" spans="1:1" s="31" customFormat="1" x14ac:dyDescent="0.2">
      <c r="A33" s="36">
        <v>3</v>
      </c>
    </row>
    <row r="34" spans="1:1" s="31" customFormat="1" x14ac:dyDescent="0.2">
      <c r="A34" s="35">
        <v>2</v>
      </c>
    </row>
    <row r="35" spans="1:1" s="31" customFormat="1" x14ac:dyDescent="0.2">
      <c r="A35" s="36">
        <v>1</v>
      </c>
    </row>
    <row r="36" spans="1:1" s="31" customFormat="1" x14ac:dyDescent="0.2">
      <c r="A36" s="35">
        <v>2</v>
      </c>
    </row>
    <row r="37" spans="1:1" s="31" customFormat="1" x14ac:dyDescent="0.2">
      <c r="A37" s="36">
        <v>1</v>
      </c>
    </row>
    <row r="38" spans="1:1" s="31" customFormat="1" x14ac:dyDescent="0.2">
      <c r="A38" s="35">
        <v>2</v>
      </c>
    </row>
    <row r="39" spans="1:1" s="31" customFormat="1" x14ac:dyDescent="0.2">
      <c r="A39" s="36">
        <v>2</v>
      </c>
    </row>
    <row r="40" spans="1:1" s="31" customFormat="1" x14ac:dyDescent="0.2">
      <c r="A40" s="35">
        <v>1</v>
      </c>
    </row>
    <row r="41" spans="1:1" s="31" customFormat="1" x14ac:dyDescent="0.2">
      <c r="A41" s="36">
        <v>2</v>
      </c>
    </row>
    <row r="42" spans="1:1" s="31" customFormat="1" x14ac:dyDescent="0.2">
      <c r="A42" s="35">
        <v>1</v>
      </c>
    </row>
    <row r="43" spans="1:1" s="31" customFormat="1" x14ac:dyDescent="0.2">
      <c r="A43" s="36">
        <v>1</v>
      </c>
    </row>
    <row r="44" spans="1:1" s="31" customFormat="1" x14ac:dyDescent="0.2">
      <c r="A44" s="35">
        <v>4</v>
      </c>
    </row>
    <row r="45" spans="1:1" s="31" customFormat="1" x14ac:dyDescent="0.2">
      <c r="A45" s="36">
        <v>1</v>
      </c>
    </row>
    <row r="46" spans="1:1" s="31" customFormat="1" x14ac:dyDescent="0.2">
      <c r="A46" s="35">
        <v>3</v>
      </c>
    </row>
    <row r="47" spans="1:1" s="31" customFormat="1" x14ac:dyDescent="0.2">
      <c r="A47" s="36">
        <v>3</v>
      </c>
    </row>
    <row r="48" spans="1:1" s="31" customFormat="1" x14ac:dyDescent="0.2">
      <c r="A48" s="35">
        <v>2</v>
      </c>
    </row>
    <row r="49" spans="1:1" s="31" customFormat="1" x14ac:dyDescent="0.2">
      <c r="A49" s="36">
        <v>2</v>
      </c>
    </row>
    <row r="50" spans="1:1" s="31" customFormat="1" x14ac:dyDescent="0.2">
      <c r="A50" s="35">
        <v>3</v>
      </c>
    </row>
    <row r="51" spans="1:1" s="31" customFormat="1" x14ac:dyDescent="0.2">
      <c r="A51" s="36">
        <v>2</v>
      </c>
    </row>
    <row r="52" spans="1:1" s="31" customFormat="1" x14ac:dyDescent="0.2">
      <c r="A52" s="35">
        <v>1</v>
      </c>
    </row>
    <row r="53" spans="1:1" s="31" customFormat="1" x14ac:dyDescent="0.2">
      <c r="A53" s="36">
        <v>2</v>
      </c>
    </row>
    <row r="54" spans="1:1" s="31" customFormat="1" x14ac:dyDescent="0.2">
      <c r="A54" s="35">
        <v>2</v>
      </c>
    </row>
    <row r="55" spans="1:1" s="31" customFormat="1" x14ac:dyDescent="0.2">
      <c r="A55" s="36">
        <v>2</v>
      </c>
    </row>
    <row r="56" spans="1:1" s="31" customFormat="1" x14ac:dyDescent="0.2">
      <c r="A56" s="35">
        <v>2</v>
      </c>
    </row>
    <row r="57" spans="1:1" s="31" customFormat="1" x14ac:dyDescent="0.2">
      <c r="A57" s="36">
        <v>2</v>
      </c>
    </row>
    <row r="58" spans="1:1" s="31" customFormat="1" x14ac:dyDescent="0.2">
      <c r="A58" s="35">
        <v>3</v>
      </c>
    </row>
    <row r="59" spans="1:1" s="31" customFormat="1" x14ac:dyDescent="0.2">
      <c r="A59" s="36">
        <v>2</v>
      </c>
    </row>
    <row r="60" spans="1:1" s="31" customFormat="1" x14ac:dyDescent="0.2">
      <c r="A60" s="35">
        <v>3</v>
      </c>
    </row>
    <row r="61" spans="1:1" s="31" customFormat="1" x14ac:dyDescent="0.2">
      <c r="A61" s="36">
        <v>2</v>
      </c>
    </row>
    <row r="62" spans="1:1" s="31" customFormat="1" x14ac:dyDescent="0.2">
      <c r="A62" s="35">
        <v>2</v>
      </c>
    </row>
    <row r="63" spans="1:1" s="31" customFormat="1" x14ac:dyDescent="0.2">
      <c r="A63" s="36">
        <v>3</v>
      </c>
    </row>
    <row r="64" spans="1:1" s="31" customFormat="1" x14ac:dyDescent="0.2">
      <c r="A64" s="35">
        <v>2</v>
      </c>
    </row>
    <row r="65" spans="1:1" s="31" customFormat="1" x14ac:dyDescent="0.2">
      <c r="A65" s="36">
        <v>1</v>
      </c>
    </row>
    <row r="66" spans="1:1" s="31" customFormat="1" x14ac:dyDescent="0.2">
      <c r="A66" s="35">
        <v>1</v>
      </c>
    </row>
    <row r="67" spans="1:1" s="31" customFormat="1" x14ac:dyDescent="0.2">
      <c r="A67" s="36">
        <v>1</v>
      </c>
    </row>
    <row r="68" spans="1:1" s="31" customFormat="1" x14ac:dyDescent="0.2">
      <c r="A68" s="35">
        <v>2</v>
      </c>
    </row>
    <row r="69" spans="1:1" s="31" customFormat="1" x14ac:dyDescent="0.2">
      <c r="A69" s="36">
        <v>2</v>
      </c>
    </row>
    <row r="70" spans="1:1" s="31" customFormat="1" x14ac:dyDescent="0.2">
      <c r="A70" s="35">
        <v>1</v>
      </c>
    </row>
    <row r="71" spans="1:1" s="31" customFormat="1" x14ac:dyDescent="0.2">
      <c r="A71" s="36">
        <v>1</v>
      </c>
    </row>
    <row r="72" spans="1:1" s="31" customFormat="1" x14ac:dyDescent="0.2">
      <c r="A72" s="35">
        <v>1</v>
      </c>
    </row>
    <row r="73" spans="1:1" s="31" customFormat="1" x14ac:dyDescent="0.2">
      <c r="A73" s="36">
        <v>2</v>
      </c>
    </row>
    <row r="74" spans="1:1" s="31" customFormat="1" x14ac:dyDescent="0.2">
      <c r="A74" s="35">
        <v>3</v>
      </c>
    </row>
    <row r="75" spans="1:1" s="31" customFormat="1" x14ac:dyDescent="0.2">
      <c r="A75" s="36">
        <v>4</v>
      </c>
    </row>
    <row r="76" spans="1:1" s="31" customFormat="1" x14ac:dyDescent="0.2">
      <c r="A76" s="35">
        <v>1</v>
      </c>
    </row>
    <row r="77" spans="1:1" s="31" customFormat="1" x14ac:dyDescent="0.2">
      <c r="A77" s="36">
        <v>4</v>
      </c>
    </row>
    <row r="78" spans="1:1" s="31" customFormat="1" x14ac:dyDescent="0.2">
      <c r="A78" s="35">
        <v>1</v>
      </c>
    </row>
    <row r="79" spans="1:1" s="31" customFormat="1" x14ac:dyDescent="0.2">
      <c r="A79" s="36">
        <v>2</v>
      </c>
    </row>
    <row r="80" spans="1:1" s="31" customFormat="1" x14ac:dyDescent="0.2">
      <c r="A80" s="35">
        <v>5</v>
      </c>
    </row>
    <row r="81" spans="1:1" s="31" customFormat="1" x14ac:dyDescent="0.2">
      <c r="A81" s="36">
        <v>2</v>
      </c>
    </row>
    <row r="82" spans="1:1" s="31" customFormat="1" x14ac:dyDescent="0.2">
      <c r="A82" s="35">
        <v>2</v>
      </c>
    </row>
    <row r="83" spans="1:1" s="31" customFormat="1" x14ac:dyDescent="0.2">
      <c r="A83" s="36">
        <v>2</v>
      </c>
    </row>
    <row r="84" spans="1:1" s="31" customFormat="1" x14ac:dyDescent="0.2">
      <c r="A84" s="35">
        <v>2</v>
      </c>
    </row>
    <row r="85" spans="1:1" s="31" customFormat="1" x14ac:dyDescent="0.2">
      <c r="A85" s="36">
        <v>3</v>
      </c>
    </row>
    <row r="86" spans="1:1" s="31" customFormat="1" x14ac:dyDescent="0.2">
      <c r="A86" s="35">
        <v>1</v>
      </c>
    </row>
    <row r="87" spans="1:1" s="31" customFormat="1" x14ac:dyDescent="0.2">
      <c r="A87" s="36">
        <v>2</v>
      </c>
    </row>
    <row r="88" spans="1:1" s="31" customFormat="1" x14ac:dyDescent="0.2">
      <c r="A88" s="35">
        <v>4</v>
      </c>
    </row>
    <row r="89" spans="1:1" s="31" customFormat="1" x14ac:dyDescent="0.2">
      <c r="A89" s="36">
        <v>3</v>
      </c>
    </row>
    <row r="90" spans="1:1" s="31" customFormat="1" x14ac:dyDescent="0.2">
      <c r="A90" s="35">
        <v>2</v>
      </c>
    </row>
    <row r="91" spans="1:1" s="31" customFormat="1" x14ac:dyDescent="0.2">
      <c r="A91" s="36">
        <v>2</v>
      </c>
    </row>
    <row r="92" spans="1:1" s="31" customFormat="1" x14ac:dyDescent="0.2">
      <c r="A92" s="35">
        <v>4</v>
      </c>
    </row>
    <row r="93" spans="1:1" s="31" customFormat="1" x14ac:dyDescent="0.2">
      <c r="A93" s="36">
        <v>1</v>
      </c>
    </row>
    <row r="94" spans="1:1" s="31" customFormat="1" x14ac:dyDescent="0.2">
      <c r="A94" s="35">
        <v>2</v>
      </c>
    </row>
    <row r="95" spans="1:1" s="31" customFormat="1" x14ac:dyDescent="0.2">
      <c r="A95" s="36">
        <v>2</v>
      </c>
    </row>
    <row r="96" spans="1:1" s="31" customFormat="1" x14ac:dyDescent="0.2">
      <c r="A96" s="35">
        <v>1</v>
      </c>
    </row>
    <row r="97" spans="1:1" s="31" customFormat="1" x14ac:dyDescent="0.2">
      <c r="A97" s="36">
        <v>2</v>
      </c>
    </row>
    <row r="98" spans="1:1" s="31" customFormat="1" x14ac:dyDescent="0.2">
      <c r="A98" s="35">
        <v>2</v>
      </c>
    </row>
    <row r="99" spans="1:1" s="31" customFormat="1" x14ac:dyDescent="0.2">
      <c r="A99" s="36">
        <v>1</v>
      </c>
    </row>
    <row r="100" spans="1:1" s="31" customFormat="1" x14ac:dyDescent="0.2">
      <c r="A100" s="35">
        <v>4</v>
      </c>
    </row>
    <row r="101" spans="1:1" s="31" customFormat="1" x14ac:dyDescent="0.2">
      <c r="A101" s="36">
        <v>1</v>
      </c>
    </row>
    <row r="102" spans="1:1" s="31" customFormat="1" x14ac:dyDescent="0.2">
      <c r="A102" s="35">
        <v>3</v>
      </c>
    </row>
    <row r="103" spans="1:1" s="31" customFormat="1" x14ac:dyDescent="0.2">
      <c r="A103" s="36">
        <v>3</v>
      </c>
    </row>
    <row r="104" spans="1:1" s="31" customFormat="1" x14ac:dyDescent="0.2">
      <c r="A104" s="35">
        <v>1</v>
      </c>
    </row>
    <row r="105" spans="1:1" s="31" customFormat="1" x14ac:dyDescent="0.2">
      <c r="A105" s="36">
        <v>2</v>
      </c>
    </row>
    <row r="106" spans="1:1" s="31" customFormat="1" x14ac:dyDescent="0.2">
      <c r="A106" s="35">
        <v>4</v>
      </c>
    </row>
    <row r="107" spans="1:1" s="31" customFormat="1" x14ac:dyDescent="0.2">
      <c r="A107" s="36">
        <v>1</v>
      </c>
    </row>
    <row r="108" spans="1:1" s="31" customFormat="1" x14ac:dyDescent="0.2">
      <c r="A108" s="35">
        <v>3</v>
      </c>
    </row>
    <row r="109" spans="1:1" s="31" customFormat="1" x14ac:dyDescent="0.2">
      <c r="A109" s="36">
        <v>2</v>
      </c>
    </row>
    <row r="110" spans="1:1" s="31" customFormat="1" x14ac:dyDescent="0.2">
      <c r="A110" s="35">
        <v>1</v>
      </c>
    </row>
    <row r="111" spans="1:1" s="31" customFormat="1" x14ac:dyDescent="0.2">
      <c r="A111" s="36">
        <v>2</v>
      </c>
    </row>
    <row r="112" spans="1:1" s="31" customFormat="1" x14ac:dyDescent="0.2">
      <c r="A112" s="35">
        <v>2</v>
      </c>
    </row>
    <row r="113" spans="1:1" s="31" customFormat="1" x14ac:dyDescent="0.2">
      <c r="A113" s="36">
        <v>1</v>
      </c>
    </row>
    <row r="114" spans="1:1" s="31" customFormat="1" x14ac:dyDescent="0.2">
      <c r="A114" s="35">
        <v>1</v>
      </c>
    </row>
    <row r="115" spans="1:1" s="31" customFormat="1" x14ac:dyDescent="0.2">
      <c r="A115" s="36">
        <v>1</v>
      </c>
    </row>
    <row r="116" spans="1:1" s="31" customFormat="1" x14ac:dyDescent="0.2">
      <c r="A116" s="35">
        <v>2</v>
      </c>
    </row>
    <row r="117" spans="1:1" s="31" customFormat="1" x14ac:dyDescent="0.2">
      <c r="A117" s="36">
        <v>3</v>
      </c>
    </row>
    <row r="118" spans="1:1" s="31" customFormat="1" x14ac:dyDescent="0.2">
      <c r="A118" s="35">
        <v>2</v>
      </c>
    </row>
    <row r="119" spans="1:1" s="31" customFormat="1" x14ac:dyDescent="0.2">
      <c r="A119" s="36">
        <v>3</v>
      </c>
    </row>
    <row r="120" spans="1:1" s="31" customFormat="1" x14ac:dyDescent="0.2">
      <c r="A120" s="35">
        <v>2</v>
      </c>
    </row>
    <row r="121" spans="1:1" s="31" customFormat="1" x14ac:dyDescent="0.2">
      <c r="A121" s="36">
        <v>4</v>
      </c>
    </row>
    <row r="122" spans="1:1" s="31" customFormat="1" x14ac:dyDescent="0.2">
      <c r="A122" s="35">
        <v>2</v>
      </c>
    </row>
    <row r="123" spans="1:1" s="31" customFormat="1" x14ac:dyDescent="0.2">
      <c r="A123" s="36">
        <v>1</v>
      </c>
    </row>
    <row r="124" spans="1:1" s="31" customFormat="1" x14ac:dyDescent="0.2">
      <c r="A124" s="35">
        <v>2</v>
      </c>
    </row>
    <row r="125" spans="1:1" s="31" customFormat="1" x14ac:dyDescent="0.2">
      <c r="A125" s="36">
        <v>2</v>
      </c>
    </row>
    <row r="126" spans="1:1" s="31" customFormat="1" x14ac:dyDescent="0.2">
      <c r="A126" s="35">
        <v>1</v>
      </c>
    </row>
    <row r="127" spans="1:1" s="31" customFormat="1" x14ac:dyDescent="0.2">
      <c r="A127" s="36">
        <v>1</v>
      </c>
    </row>
    <row r="128" spans="1:1" s="31" customFormat="1" x14ac:dyDescent="0.2">
      <c r="A128" s="35">
        <v>1</v>
      </c>
    </row>
    <row r="129" spans="1:1" s="31" customFormat="1" x14ac:dyDescent="0.2">
      <c r="A129" s="36">
        <v>4</v>
      </c>
    </row>
    <row r="130" spans="1:1" s="31" customFormat="1" x14ac:dyDescent="0.2">
      <c r="A130" s="35">
        <v>1</v>
      </c>
    </row>
    <row r="131" spans="1:1" s="31" customFormat="1" x14ac:dyDescent="0.2">
      <c r="A131" s="36">
        <v>3</v>
      </c>
    </row>
    <row r="132" spans="1:1" s="31" customFormat="1" x14ac:dyDescent="0.2">
      <c r="A132" s="35">
        <v>2</v>
      </c>
    </row>
    <row r="133" spans="1:1" s="31" customFormat="1" x14ac:dyDescent="0.2">
      <c r="A133" s="36">
        <v>3</v>
      </c>
    </row>
    <row r="134" spans="1:1" s="31" customFormat="1" x14ac:dyDescent="0.2">
      <c r="A134" s="35">
        <v>2</v>
      </c>
    </row>
    <row r="135" spans="1:1" s="31" customFormat="1" x14ac:dyDescent="0.2">
      <c r="A135" s="36">
        <v>2</v>
      </c>
    </row>
    <row r="136" spans="1:1" s="31" customFormat="1" x14ac:dyDescent="0.2">
      <c r="A136" s="35">
        <v>2</v>
      </c>
    </row>
    <row r="137" spans="1:1" s="31" customFormat="1" x14ac:dyDescent="0.2">
      <c r="A137" s="36">
        <v>2</v>
      </c>
    </row>
    <row r="138" spans="1:1" s="31" customFormat="1" x14ac:dyDescent="0.2">
      <c r="A138" s="35">
        <v>1</v>
      </c>
    </row>
    <row r="139" spans="1:1" s="31" customFormat="1" x14ac:dyDescent="0.2">
      <c r="A139" s="36">
        <v>3</v>
      </c>
    </row>
    <row r="140" spans="1:1" s="31" customFormat="1" x14ac:dyDescent="0.2">
      <c r="A140" s="35">
        <v>2</v>
      </c>
    </row>
    <row r="141" spans="1:1" s="31" customFormat="1" x14ac:dyDescent="0.2">
      <c r="A141" s="36">
        <v>2</v>
      </c>
    </row>
    <row r="142" spans="1:1" s="31" customFormat="1" x14ac:dyDescent="0.2">
      <c r="A142" s="35">
        <v>1</v>
      </c>
    </row>
    <row r="143" spans="1:1" s="31" customFormat="1" x14ac:dyDescent="0.2">
      <c r="A143" s="36">
        <v>1</v>
      </c>
    </row>
    <row r="144" spans="1:1" s="31" customFormat="1" x14ac:dyDescent="0.2">
      <c r="A144" s="35">
        <v>3</v>
      </c>
    </row>
    <row r="145" spans="1:1" s="31" customFormat="1" x14ac:dyDescent="0.2">
      <c r="A145" s="36">
        <v>3</v>
      </c>
    </row>
    <row r="146" spans="1:1" s="31" customFormat="1" x14ac:dyDescent="0.2">
      <c r="A146" s="35">
        <v>3</v>
      </c>
    </row>
    <row r="147" spans="1:1" s="31" customFormat="1" x14ac:dyDescent="0.2">
      <c r="A147" s="36">
        <v>3</v>
      </c>
    </row>
    <row r="148" spans="1:1" s="31" customFormat="1" x14ac:dyDescent="0.2">
      <c r="A148" s="35">
        <v>1</v>
      </c>
    </row>
    <row r="149" spans="1:1" s="31" customFormat="1" x14ac:dyDescent="0.2">
      <c r="A149" s="36">
        <v>3</v>
      </c>
    </row>
    <row r="150" spans="1:1" s="31" customFormat="1" x14ac:dyDescent="0.2">
      <c r="A150" s="35">
        <v>2</v>
      </c>
    </row>
    <row r="151" spans="1:1" s="31" customFormat="1" x14ac:dyDescent="0.2">
      <c r="A151" s="36">
        <v>1</v>
      </c>
    </row>
    <row r="152" spans="1:1" s="31" customFormat="1" x14ac:dyDescent="0.2">
      <c r="A152" s="37">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E90D-E784-4D3F-AD1D-973E00597601}">
  <dimension ref="A3:B12"/>
  <sheetViews>
    <sheetView topLeftCell="A9" zoomScale="87" workbookViewId="0">
      <selection activeCell="H12" sqref="H12"/>
    </sheetView>
  </sheetViews>
  <sheetFormatPr baseColWidth="10" defaultColWidth="10.83203125" defaultRowHeight="15" x14ac:dyDescent="0.2"/>
  <cols>
    <col min="1" max="1" width="78.1640625"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32" x14ac:dyDescent="0.2">
      <c r="A4" s="49" t="s">
        <v>54</v>
      </c>
      <c r="B4" t="s">
        <v>485</v>
      </c>
    </row>
    <row r="5" spans="1:2" x14ac:dyDescent="0.2">
      <c r="A5" t="s">
        <v>653</v>
      </c>
      <c r="B5" s="26">
        <v>0.1640926640926641</v>
      </c>
    </row>
    <row r="6" spans="1:2" x14ac:dyDescent="0.2">
      <c r="A6" t="s">
        <v>654</v>
      </c>
      <c r="B6" s="26">
        <v>0.16602316602316602</v>
      </c>
    </row>
    <row r="7" spans="1:2" x14ac:dyDescent="0.2">
      <c r="A7" t="s">
        <v>655</v>
      </c>
      <c r="B7" s="26">
        <v>4.633204633204633E-2</v>
      </c>
    </row>
    <row r="8" spans="1:2" x14ac:dyDescent="0.2">
      <c r="A8" t="s">
        <v>656</v>
      </c>
      <c r="B8" s="26">
        <v>0.18339768339768339</v>
      </c>
    </row>
    <row r="9" spans="1:2" x14ac:dyDescent="0.2">
      <c r="A9" t="s">
        <v>657</v>
      </c>
      <c r="B9" s="26">
        <v>0.16023166023166024</v>
      </c>
    </row>
    <row r="10" spans="1:2" x14ac:dyDescent="0.2">
      <c r="A10" t="s">
        <v>658</v>
      </c>
      <c r="B10" s="26">
        <v>0.18339768339768339</v>
      </c>
    </row>
    <row r="11" spans="1:2" x14ac:dyDescent="0.2">
      <c r="A11" t="s">
        <v>659</v>
      </c>
      <c r="B11" s="26">
        <v>9.6525096525096526E-2</v>
      </c>
    </row>
    <row r="12" spans="1:2" x14ac:dyDescent="0.2">
      <c r="A12" t="s">
        <v>6</v>
      </c>
      <c r="B12" s="26">
        <v>1</v>
      </c>
    </row>
  </sheetData>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664C-9457-4E80-B9FC-0814F9174C36}">
  <dimension ref="A1:G152"/>
  <sheetViews>
    <sheetView zoomScale="90" zoomScaleNormal="90" workbookViewId="0">
      <selection activeCell="C4" sqref="C4"/>
    </sheetView>
  </sheetViews>
  <sheetFormatPr baseColWidth="10" defaultColWidth="11.83203125" defaultRowHeight="15" x14ac:dyDescent="0.2"/>
  <cols>
    <col min="1" max="1" width="72.1640625" customWidth="1"/>
    <col min="2" max="2" width="10.33203125" customWidth="1"/>
    <col min="3" max="3" width="57" customWidth="1"/>
    <col min="4" max="4" width="10.6640625" customWidth="1"/>
    <col min="5" max="5" width="8.83203125" customWidth="1"/>
    <col min="6" max="6" width="42.1640625" customWidth="1"/>
  </cols>
  <sheetData>
    <row r="1" spans="1:7" s="31" customFormat="1" ht="39" x14ac:dyDescent="0.2">
      <c r="A1" s="34" t="s">
        <v>54</v>
      </c>
      <c r="C1" s="34" t="s">
        <v>54</v>
      </c>
      <c r="D1" s="41" t="s">
        <v>485</v>
      </c>
      <c r="F1" s="34" t="str">
        <f>$A1</f>
        <v>Quels sont les facteurs qui permettraient de favoriser l’intégration de l’ostéopathie dans la prise en charge du syndrome de Lacomme ?</v>
      </c>
      <c r="G1" s="41" t="s">
        <v>575</v>
      </c>
    </row>
    <row r="2" spans="1:7" s="31" customFormat="1" ht="48" x14ac:dyDescent="0.2">
      <c r="A2" s="35" t="s">
        <v>70</v>
      </c>
      <c r="C2" s="31" t="s">
        <v>331</v>
      </c>
      <c r="D2" s="31">
        <f>COUNTIF($A$2:$A$152,"*Contenus pédagogiques sur les principes ostéopathiques inscrits au parcours académique*")</f>
        <v>85</v>
      </c>
      <c r="F2" s="31" t="str">
        <f t="shared" ref="F2" si="0">C2&amp;" "&amp;"(n="&amp;D2&amp;")"</f>
        <v>Contenus pédagogiques sur les principes ostéopathiques inscrits au parcours académique (n=85)</v>
      </c>
      <c r="G2" s="32">
        <f>D2/SUM(D$2:D$8)</f>
        <v>0.1640926640926641</v>
      </c>
    </row>
    <row r="3" spans="1:7" s="31" customFormat="1" ht="39" x14ac:dyDescent="0.2">
      <c r="A3" s="36" t="s">
        <v>77</v>
      </c>
      <c r="C3" s="31" t="s">
        <v>391</v>
      </c>
      <c r="D3" s="31">
        <f>COUNTIF($A$2:$A$152,"*Retours de patientes*")</f>
        <v>50</v>
      </c>
      <c r="F3" s="31" t="str">
        <f t="shared" ref="F3:F8" si="1">C3&amp;" "&amp;"(n="&amp;D3&amp;")"</f>
        <v>Retours de patientes (n=50)</v>
      </c>
      <c r="G3" s="32">
        <f t="shared" ref="G3:G8" si="2">D3/SUM(D$2:D$8)</f>
        <v>9.6525096525096526E-2</v>
      </c>
    </row>
    <row r="4" spans="1:7" s="31" customFormat="1" ht="26" x14ac:dyDescent="0.2">
      <c r="A4" s="35" t="s">
        <v>83</v>
      </c>
      <c r="C4" s="31" t="s">
        <v>190</v>
      </c>
      <c r="D4" s="31">
        <f>COUNTIF($A$2:$A$152,"*Preuves scientifiques*")</f>
        <v>95</v>
      </c>
      <c r="F4" s="31" t="str">
        <f t="shared" si="1"/>
        <v>Preuves scientifiques (n=95)</v>
      </c>
      <c r="G4" s="32">
        <f t="shared" si="2"/>
        <v>0.18339768339768339</v>
      </c>
    </row>
    <row r="5" spans="1:7" s="31" customFormat="1" ht="26" x14ac:dyDescent="0.2">
      <c r="A5" s="36" t="s">
        <v>91</v>
      </c>
      <c r="C5" s="31" t="s">
        <v>399</v>
      </c>
      <c r="D5" s="31">
        <f>COUNTIF($A$2:$A$152,"*Médiatisation/Réseaux sociaux*")</f>
        <v>24</v>
      </c>
      <c r="F5" s="31" t="str">
        <f t="shared" si="1"/>
        <v>Médiatisation/Réseaux sociaux (n=24)</v>
      </c>
      <c r="G5" s="32">
        <f t="shared" si="2"/>
        <v>4.633204633204633E-2</v>
      </c>
    </row>
    <row r="6" spans="1:7" s="31" customFormat="1" ht="52" x14ac:dyDescent="0.2">
      <c r="A6" s="35" t="s">
        <v>95</v>
      </c>
      <c r="C6" s="31" t="s">
        <v>186</v>
      </c>
      <c r="D6" s="31">
        <f>COUNTIF($A$2:$A$152,"*Réduction du coût des séances pour les patientes*")</f>
        <v>95</v>
      </c>
      <c r="F6" s="31" t="str">
        <f t="shared" si="1"/>
        <v>Réduction du coût des séances pour les patientes (n=95)</v>
      </c>
      <c r="G6" s="32">
        <f t="shared" si="2"/>
        <v>0.18339768339768339</v>
      </c>
    </row>
    <row r="7" spans="1:7" s="31" customFormat="1" ht="16" x14ac:dyDescent="0.2">
      <c r="A7" s="36" t="s">
        <v>100</v>
      </c>
      <c r="C7" s="31" t="s">
        <v>525</v>
      </c>
      <c r="D7" s="31">
        <f>COUNTIF($A$2:$A$152,"*Reconnaissance institutionnelle*")</f>
        <v>83</v>
      </c>
      <c r="F7" s="31" t="str">
        <f t="shared" si="1"/>
        <v>Reconnaissance institutionnelle (n=83)</v>
      </c>
      <c r="G7" s="32">
        <f t="shared" si="2"/>
        <v>0.16023166023166024</v>
      </c>
    </row>
    <row r="8" spans="1:7" s="31" customFormat="1" ht="39" x14ac:dyDescent="0.2">
      <c r="A8" s="35" t="s">
        <v>105</v>
      </c>
      <c r="C8" s="31" t="s">
        <v>473</v>
      </c>
      <c r="D8" s="31">
        <f>COUNTIF($A$2:$A$152,"*Intégration de l’ostéopathie dans les structures de santé*")</f>
        <v>86</v>
      </c>
      <c r="F8" s="31" t="str">
        <f t="shared" si="1"/>
        <v>Intégration de l’ostéopathie dans les structures de santé (n=86)</v>
      </c>
      <c r="G8" s="32">
        <f t="shared" si="2"/>
        <v>0.16602316602316602</v>
      </c>
    </row>
    <row r="9" spans="1:7" s="31" customFormat="1" ht="39" x14ac:dyDescent="0.2">
      <c r="A9" s="36" t="s">
        <v>110</v>
      </c>
    </row>
    <row r="10" spans="1:7" s="31" customFormat="1" ht="26" x14ac:dyDescent="0.2">
      <c r="A10" s="35" t="s">
        <v>116</v>
      </c>
      <c r="D10" s="31">
        <f>SUM(D2:D8)</f>
        <v>518</v>
      </c>
      <c r="G10" s="32">
        <f>SUM(G2:G8)</f>
        <v>1</v>
      </c>
    </row>
    <row r="11" spans="1:7" s="31" customFormat="1" ht="39" x14ac:dyDescent="0.2">
      <c r="A11" s="36" t="s">
        <v>121</v>
      </c>
    </row>
    <row r="12" spans="1:7" s="31" customFormat="1" ht="26" x14ac:dyDescent="0.2">
      <c r="A12" s="35" t="s">
        <v>127</v>
      </c>
    </row>
    <row r="13" spans="1:7" s="31" customFormat="1" ht="39" x14ac:dyDescent="0.2">
      <c r="A13" s="36" t="s">
        <v>131</v>
      </c>
    </row>
    <row r="14" spans="1:7" s="31" customFormat="1" ht="39" x14ac:dyDescent="0.2">
      <c r="A14" s="35" t="s">
        <v>136</v>
      </c>
    </row>
    <row r="15" spans="1:7" s="31" customFormat="1" ht="26" x14ac:dyDescent="0.2">
      <c r="A15" s="36" t="s">
        <v>144</v>
      </c>
    </row>
    <row r="16" spans="1:7" s="31" customFormat="1" ht="26" x14ac:dyDescent="0.2">
      <c r="A16" s="35" t="s">
        <v>149</v>
      </c>
    </row>
    <row r="17" spans="1:1" s="31" customFormat="1" ht="39" x14ac:dyDescent="0.2">
      <c r="A17" s="36" t="s">
        <v>154</v>
      </c>
    </row>
    <row r="18" spans="1:1" s="31" customFormat="1" ht="26" x14ac:dyDescent="0.2">
      <c r="A18" s="35" t="s">
        <v>160</v>
      </c>
    </row>
    <row r="19" spans="1:1" s="31" customFormat="1" ht="26" x14ac:dyDescent="0.2">
      <c r="A19" s="36" t="s">
        <v>163</v>
      </c>
    </row>
    <row r="20" spans="1:1" s="31" customFormat="1" ht="52" x14ac:dyDescent="0.2">
      <c r="A20" s="35" t="s">
        <v>95</v>
      </c>
    </row>
    <row r="21" spans="1:1" s="31" customFormat="1" ht="39" x14ac:dyDescent="0.2">
      <c r="A21" s="36" t="s">
        <v>171</v>
      </c>
    </row>
    <row r="22" spans="1:1" s="31" customFormat="1" ht="26" x14ac:dyDescent="0.2">
      <c r="A22" s="35" t="s">
        <v>173</v>
      </c>
    </row>
    <row r="23" spans="1:1" s="31" customFormat="1" ht="26" x14ac:dyDescent="0.2">
      <c r="A23" s="36" t="s">
        <v>178</v>
      </c>
    </row>
    <row r="24" spans="1:1" s="31" customFormat="1" ht="26" x14ac:dyDescent="0.2">
      <c r="A24" s="35" t="s">
        <v>70</v>
      </c>
    </row>
    <row r="25" spans="1:1" s="31" customFormat="1" x14ac:dyDescent="0.2">
      <c r="A25" s="36" t="s">
        <v>186</v>
      </c>
    </row>
    <row r="26" spans="1:1" s="31" customFormat="1" x14ac:dyDescent="0.2">
      <c r="A26" s="35" t="s">
        <v>190</v>
      </c>
    </row>
    <row r="27" spans="1:1" s="31" customFormat="1" x14ac:dyDescent="0.2">
      <c r="A27" s="36" t="s">
        <v>190</v>
      </c>
    </row>
    <row r="28" spans="1:1" s="31" customFormat="1" ht="26" x14ac:dyDescent="0.2">
      <c r="A28" s="35" t="s">
        <v>200</v>
      </c>
    </row>
    <row r="29" spans="1:1" s="31" customFormat="1" ht="39" x14ac:dyDescent="0.2">
      <c r="A29" s="36" t="s">
        <v>209</v>
      </c>
    </row>
    <row r="30" spans="1:1" s="31" customFormat="1" ht="26" x14ac:dyDescent="0.2">
      <c r="A30" s="35" t="s">
        <v>70</v>
      </c>
    </row>
    <row r="31" spans="1:1" s="31" customFormat="1" x14ac:dyDescent="0.2">
      <c r="A31" s="36">
        <v>0</v>
      </c>
    </row>
    <row r="32" spans="1:1" s="31" customFormat="1" ht="26" x14ac:dyDescent="0.2">
      <c r="A32" s="35" t="s">
        <v>173</v>
      </c>
    </row>
    <row r="33" spans="1:1" s="31" customFormat="1" ht="26" x14ac:dyDescent="0.2">
      <c r="A33" s="36" t="s">
        <v>220</v>
      </c>
    </row>
    <row r="34" spans="1:1" s="31" customFormat="1" ht="39" x14ac:dyDescent="0.2">
      <c r="A34" s="35" t="s">
        <v>136</v>
      </c>
    </row>
    <row r="35" spans="1:1" s="31" customFormat="1" ht="39" x14ac:dyDescent="0.2">
      <c r="A35" s="36" t="s">
        <v>227</v>
      </c>
    </row>
    <row r="36" spans="1:1" s="31" customFormat="1" ht="39" x14ac:dyDescent="0.2">
      <c r="A36" s="35" t="s">
        <v>232</v>
      </c>
    </row>
    <row r="37" spans="1:1" s="31" customFormat="1" x14ac:dyDescent="0.2">
      <c r="A37" s="36" t="s">
        <v>235</v>
      </c>
    </row>
    <row r="38" spans="1:1" s="31" customFormat="1" ht="39" x14ac:dyDescent="0.2">
      <c r="A38" s="35" t="s">
        <v>131</v>
      </c>
    </row>
    <row r="39" spans="1:1" s="31" customFormat="1" ht="39" x14ac:dyDescent="0.2">
      <c r="A39" s="36" t="s">
        <v>241</v>
      </c>
    </row>
    <row r="40" spans="1:1" s="31" customFormat="1" ht="26" x14ac:dyDescent="0.2">
      <c r="A40" s="35" t="s">
        <v>70</v>
      </c>
    </row>
    <row r="41" spans="1:1" s="31" customFormat="1" ht="39" x14ac:dyDescent="0.2">
      <c r="A41" s="36" t="s">
        <v>241</v>
      </c>
    </row>
    <row r="42" spans="1:1" s="31" customFormat="1" ht="39" x14ac:dyDescent="0.2">
      <c r="A42" s="35" t="s">
        <v>251</v>
      </c>
    </row>
    <row r="43" spans="1:1" s="31" customFormat="1" ht="39" x14ac:dyDescent="0.2">
      <c r="A43" s="36" t="s">
        <v>256</v>
      </c>
    </row>
    <row r="44" spans="1:1" s="31" customFormat="1" x14ac:dyDescent="0.2">
      <c r="A44" s="35" t="s">
        <v>190</v>
      </c>
    </row>
    <row r="45" spans="1:1" s="31" customFormat="1" ht="39" x14ac:dyDescent="0.2">
      <c r="A45" s="36" t="s">
        <v>154</v>
      </c>
    </row>
    <row r="46" spans="1:1" s="31" customFormat="1" ht="26" x14ac:dyDescent="0.2">
      <c r="A46" s="35" t="s">
        <v>220</v>
      </c>
    </row>
    <row r="47" spans="1:1" s="31" customFormat="1" ht="26" x14ac:dyDescent="0.2">
      <c r="A47" s="36" t="s">
        <v>264</v>
      </c>
    </row>
    <row r="48" spans="1:1" s="31" customFormat="1" x14ac:dyDescent="0.2">
      <c r="A48" s="35" t="s">
        <v>266</v>
      </c>
    </row>
    <row r="49" spans="1:1" s="31" customFormat="1" ht="39" x14ac:dyDescent="0.2">
      <c r="A49" s="36" t="s">
        <v>269</v>
      </c>
    </row>
    <row r="50" spans="1:1" s="31" customFormat="1" ht="39" x14ac:dyDescent="0.2">
      <c r="A50" s="35" t="s">
        <v>136</v>
      </c>
    </row>
    <row r="51" spans="1:1" s="31" customFormat="1" ht="39" x14ac:dyDescent="0.2">
      <c r="A51" s="36" t="s">
        <v>276</v>
      </c>
    </row>
    <row r="52" spans="1:1" s="31" customFormat="1" ht="26" x14ac:dyDescent="0.2">
      <c r="A52" s="35" t="s">
        <v>163</v>
      </c>
    </row>
    <row r="53" spans="1:1" s="31" customFormat="1" ht="39" x14ac:dyDescent="0.2">
      <c r="A53" s="36" t="s">
        <v>154</v>
      </c>
    </row>
    <row r="54" spans="1:1" s="31" customFormat="1" ht="39" x14ac:dyDescent="0.2">
      <c r="A54" s="35" t="s">
        <v>136</v>
      </c>
    </row>
    <row r="55" spans="1:1" s="31" customFormat="1" ht="39" x14ac:dyDescent="0.2">
      <c r="A55" s="36" t="s">
        <v>154</v>
      </c>
    </row>
    <row r="56" spans="1:1" s="31" customFormat="1" x14ac:dyDescent="0.2">
      <c r="A56" s="35" t="s">
        <v>285</v>
      </c>
    </row>
    <row r="57" spans="1:1" s="31" customFormat="1" ht="39" x14ac:dyDescent="0.2">
      <c r="A57" s="36" t="s">
        <v>77</v>
      </c>
    </row>
    <row r="58" spans="1:1" s="31" customFormat="1" ht="26" x14ac:dyDescent="0.2">
      <c r="A58" s="35" t="s">
        <v>292</v>
      </c>
    </row>
    <row r="59" spans="1:1" s="31" customFormat="1" ht="39" x14ac:dyDescent="0.2">
      <c r="A59" s="36" t="s">
        <v>276</v>
      </c>
    </row>
    <row r="60" spans="1:1" s="31" customFormat="1" ht="26" x14ac:dyDescent="0.2">
      <c r="A60" s="35" t="s">
        <v>220</v>
      </c>
    </row>
    <row r="61" spans="1:1" s="31" customFormat="1" ht="26" x14ac:dyDescent="0.2">
      <c r="A61" s="36" t="s">
        <v>220</v>
      </c>
    </row>
    <row r="62" spans="1:1" s="31" customFormat="1" x14ac:dyDescent="0.2">
      <c r="A62" s="35" t="s">
        <v>301</v>
      </c>
    </row>
    <row r="63" spans="1:1" s="31" customFormat="1" ht="39" x14ac:dyDescent="0.2">
      <c r="A63" s="36" t="s">
        <v>241</v>
      </c>
    </row>
    <row r="64" spans="1:1" s="31" customFormat="1" ht="39" x14ac:dyDescent="0.2">
      <c r="A64" s="35" t="s">
        <v>241</v>
      </c>
    </row>
    <row r="65" spans="1:1" s="31" customFormat="1" ht="26" x14ac:dyDescent="0.2">
      <c r="A65" s="36" t="s">
        <v>127</v>
      </c>
    </row>
    <row r="66" spans="1:1" s="31" customFormat="1" ht="26" x14ac:dyDescent="0.2">
      <c r="A66" s="35" t="s">
        <v>310</v>
      </c>
    </row>
    <row r="67" spans="1:1" s="31" customFormat="1" ht="26" x14ac:dyDescent="0.2">
      <c r="A67" s="36" t="s">
        <v>312</v>
      </c>
    </row>
    <row r="68" spans="1:1" s="31" customFormat="1" ht="52" x14ac:dyDescent="0.2">
      <c r="A68" s="35" t="s">
        <v>95</v>
      </c>
    </row>
    <row r="69" spans="1:1" s="31" customFormat="1" ht="39" x14ac:dyDescent="0.2">
      <c r="A69" s="36" t="s">
        <v>136</v>
      </c>
    </row>
    <row r="70" spans="1:1" s="31" customFormat="1" ht="52" x14ac:dyDescent="0.2">
      <c r="A70" s="35" t="s">
        <v>95</v>
      </c>
    </row>
    <row r="71" spans="1:1" s="31" customFormat="1" ht="39" x14ac:dyDescent="0.2">
      <c r="A71" s="36" t="s">
        <v>154</v>
      </c>
    </row>
    <row r="72" spans="1:1" s="31" customFormat="1" ht="26" x14ac:dyDescent="0.2">
      <c r="A72" s="35" t="s">
        <v>127</v>
      </c>
    </row>
    <row r="73" spans="1:1" s="31" customFormat="1" ht="26" x14ac:dyDescent="0.2">
      <c r="A73" s="36" t="s">
        <v>321</v>
      </c>
    </row>
    <row r="74" spans="1:1" s="31" customFormat="1" x14ac:dyDescent="0.2">
      <c r="A74" s="35" t="s">
        <v>190</v>
      </c>
    </row>
    <row r="75" spans="1:1" s="31" customFormat="1" ht="26" x14ac:dyDescent="0.2">
      <c r="A75" s="36" t="s">
        <v>200</v>
      </c>
    </row>
    <row r="76" spans="1:1" s="31" customFormat="1" ht="52" x14ac:dyDescent="0.2">
      <c r="A76" s="35" t="s">
        <v>95</v>
      </c>
    </row>
    <row r="77" spans="1:1" s="31" customFormat="1" ht="39" x14ac:dyDescent="0.2">
      <c r="A77" s="36" t="s">
        <v>329</v>
      </c>
    </row>
    <row r="78" spans="1:1" s="31" customFormat="1" x14ac:dyDescent="0.2">
      <c r="A78" s="35" t="s">
        <v>331</v>
      </c>
    </row>
    <row r="79" spans="1:1" s="31" customFormat="1" ht="26" x14ac:dyDescent="0.2">
      <c r="A79" s="36" t="s">
        <v>334</v>
      </c>
    </row>
    <row r="80" spans="1:1" s="31" customFormat="1" x14ac:dyDescent="0.2">
      <c r="A80" s="35" t="s">
        <v>190</v>
      </c>
    </row>
    <row r="81" spans="1:1" s="31" customFormat="1" ht="39" x14ac:dyDescent="0.2">
      <c r="A81" s="36" t="s">
        <v>340</v>
      </c>
    </row>
    <row r="82" spans="1:1" s="31" customFormat="1" ht="39" x14ac:dyDescent="0.2">
      <c r="A82" s="35" t="s">
        <v>241</v>
      </c>
    </row>
    <row r="83" spans="1:1" s="31" customFormat="1" x14ac:dyDescent="0.2">
      <c r="A83" s="36" t="s">
        <v>100</v>
      </c>
    </row>
    <row r="84" spans="1:1" s="31" customFormat="1" ht="26" x14ac:dyDescent="0.2">
      <c r="A84" s="35" t="s">
        <v>346</v>
      </c>
    </row>
    <row r="85" spans="1:1" s="31" customFormat="1" x14ac:dyDescent="0.2">
      <c r="A85" s="36" t="s">
        <v>190</v>
      </c>
    </row>
    <row r="86" spans="1:1" s="31" customFormat="1" ht="52" x14ac:dyDescent="0.2">
      <c r="A86" s="35" t="s">
        <v>95</v>
      </c>
    </row>
    <row r="87" spans="1:1" s="31" customFormat="1" ht="26" x14ac:dyDescent="0.2">
      <c r="A87" s="36" t="s">
        <v>83</v>
      </c>
    </row>
    <row r="88" spans="1:1" s="31" customFormat="1" x14ac:dyDescent="0.2">
      <c r="A88" s="35" t="s">
        <v>266</v>
      </c>
    </row>
    <row r="89" spans="1:1" s="31" customFormat="1" ht="39" x14ac:dyDescent="0.2">
      <c r="A89" s="36" t="s">
        <v>154</v>
      </c>
    </row>
    <row r="90" spans="1:1" s="31" customFormat="1" ht="39" x14ac:dyDescent="0.2">
      <c r="A90" s="35" t="s">
        <v>171</v>
      </c>
    </row>
    <row r="91" spans="1:1" s="31" customFormat="1" x14ac:dyDescent="0.2">
      <c r="A91" s="36" t="s">
        <v>266</v>
      </c>
    </row>
    <row r="92" spans="1:1" s="31" customFormat="1" ht="26" x14ac:dyDescent="0.2">
      <c r="A92" s="35" t="s">
        <v>368</v>
      </c>
    </row>
    <row r="93" spans="1:1" s="31" customFormat="1" ht="26" x14ac:dyDescent="0.2">
      <c r="A93" s="36" t="s">
        <v>163</v>
      </c>
    </row>
    <row r="94" spans="1:1" s="31" customFormat="1" ht="26" x14ac:dyDescent="0.2">
      <c r="A94" s="35" t="s">
        <v>373</v>
      </c>
    </row>
    <row r="95" spans="1:1" s="31" customFormat="1" ht="26" x14ac:dyDescent="0.2">
      <c r="A95" s="36" t="s">
        <v>377</v>
      </c>
    </row>
    <row r="96" spans="1:1" s="31" customFormat="1" ht="26" x14ac:dyDescent="0.2">
      <c r="A96" s="35" t="s">
        <v>127</v>
      </c>
    </row>
    <row r="97" spans="1:1" s="31" customFormat="1" ht="26" x14ac:dyDescent="0.2">
      <c r="A97" s="36" t="s">
        <v>334</v>
      </c>
    </row>
    <row r="98" spans="1:1" s="31" customFormat="1" ht="26" x14ac:dyDescent="0.2">
      <c r="A98" s="35" t="s">
        <v>387</v>
      </c>
    </row>
    <row r="99" spans="1:1" s="31" customFormat="1" ht="39" x14ac:dyDescent="0.2">
      <c r="A99" s="36" t="s">
        <v>77</v>
      </c>
    </row>
    <row r="100" spans="1:1" s="31" customFormat="1" x14ac:dyDescent="0.2">
      <c r="A100" s="35" t="s">
        <v>391</v>
      </c>
    </row>
    <row r="101" spans="1:1" s="31" customFormat="1" x14ac:dyDescent="0.2">
      <c r="A101" s="36" t="s">
        <v>266</v>
      </c>
    </row>
    <row r="102" spans="1:1" s="31" customFormat="1" ht="26" x14ac:dyDescent="0.2">
      <c r="A102" s="35" t="s">
        <v>70</v>
      </c>
    </row>
    <row r="103" spans="1:1" s="31" customFormat="1" x14ac:dyDescent="0.2">
      <c r="A103" s="36" t="s">
        <v>399</v>
      </c>
    </row>
    <row r="104" spans="1:1" s="31" customFormat="1" ht="39" x14ac:dyDescent="0.2">
      <c r="A104" s="35" t="s">
        <v>276</v>
      </c>
    </row>
    <row r="105" spans="1:1" s="31" customFormat="1" ht="26" x14ac:dyDescent="0.2">
      <c r="A105" s="36" t="s">
        <v>116</v>
      </c>
    </row>
    <row r="106" spans="1:1" s="31" customFormat="1" ht="39" x14ac:dyDescent="0.2">
      <c r="A106" s="35" t="s">
        <v>407</v>
      </c>
    </row>
    <row r="107" spans="1:1" s="31" customFormat="1" ht="39" x14ac:dyDescent="0.2">
      <c r="A107" s="36" t="s">
        <v>136</v>
      </c>
    </row>
    <row r="108" spans="1:1" s="31" customFormat="1" x14ac:dyDescent="0.2">
      <c r="A108" s="35" t="s">
        <v>412</v>
      </c>
    </row>
    <row r="109" spans="1:1" s="31" customFormat="1" ht="26" x14ac:dyDescent="0.2">
      <c r="A109" s="36" t="s">
        <v>387</v>
      </c>
    </row>
    <row r="110" spans="1:1" s="31" customFormat="1" ht="39" x14ac:dyDescent="0.2">
      <c r="A110" s="35" t="s">
        <v>340</v>
      </c>
    </row>
    <row r="111" spans="1:1" s="31" customFormat="1" ht="39" x14ac:dyDescent="0.2">
      <c r="A111" s="36" t="s">
        <v>420</v>
      </c>
    </row>
    <row r="112" spans="1:1" s="31" customFormat="1" ht="26" x14ac:dyDescent="0.2">
      <c r="A112" s="35" t="s">
        <v>292</v>
      </c>
    </row>
    <row r="113" spans="1:1" s="31" customFormat="1" ht="26" x14ac:dyDescent="0.2">
      <c r="A113" s="36" t="s">
        <v>377</v>
      </c>
    </row>
    <row r="114" spans="1:1" s="31" customFormat="1" x14ac:dyDescent="0.2">
      <c r="A114" s="35" t="s">
        <v>190</v>
      </c>
    </row>
    <row r="115" spans="1:1" s="31" customFormat="1" ht="26" x14ac:dyDescent="0.2">
      <c r="A115" s="36" t="s">
        <v>116</v>
      </c>
    </row>
    <row r="116" spans="1:1" s="31" customFormat="1" ht="26" x14ac:dyDescent="0.2">
      <c r="A116" s="35" t="s">
        <v>387</v>
      </c>
    </row>
    <row r="117" spans="1:1" s="31" customFormat="1" x14ac:dyDescent="0.2">
      <c r="A117" s="36" t="s">
        <v>235</v>
      </c>
    </row>
    <row r="118" spans="1:1" s="31" customFormat="1" ht="39" x14ac:dyDescent="0.2">
      <c r="A118" s="35" t="s">
        <v>232</v>
      </c>
    </row>
    <row r="119" spans="1:1" s="31" customFormat="1" x14ac:dyDescent="0.2">
      <c r="A119" s="36" t="s">
        <v>235</v>
      </c>
    </row>
    <row r="120" spans="1:1" s="31" customFormat="1" ht="26" x14ac:dyDescent="0.2">
      <c r="A120" s="35" t="s">
        <v>116</v>
      </c>
    </row>
    <row r="121" spans="1:1" s="31" customFormat="1" ht="26" x14ac:dyDescent="0.2">
      <c r="A121" s="36" t="s">
        <v>428</v>
      </c>
    </row>
    <row r="122" spans="1:1" s="31" customFormat="1" x14ac:dyDescent="0.2">
      <c r="A122" s="35" t="s">
        <v>190</v>
      </c>
    </row>
    <row r="123" spans="1:1" s="31" customFormat="1" ht="39" x14ac:dyDescent="0.2">
      <c r="A123" s="36" t="s">
        <v>154</v>
      </c>
    </row>
    <row r="124" spans="1:1" s="31" customFormat="1" ht="39" x14ac:dyDescent="0.2">
      <c r="A124" s="35" t="s">
        <v>407</v>
      </c>
    </row>
    <row r="125" spans="1:1" s="31" customFormat="1" ht="26" x14ac:dyDescent="0.2">
      <c r="A125" s="36" t="s">
        <v>116</v>
      </c>
    </row>
    <row r="126" spans="1:1" s="31" customFormat="1" x14ac:dyDescent="0.2">
      <c r="A126" s="35" t="s">
        <v>100</v>
      </c>
    </row>
    <row r="127" spans="1:1" s="31" customFormat="1" x14ac:dyDescent="0.2">
      <c r="A127" s="36" t="s">
        <v>412</v>
      </c>
    </row>
    <row r="128" spans="1:1" s="31" customFormat="1" ht="52" x14ac:dyDescent="0.2">
      <c r="A128" s="35" t="s">
        <v>95</v>
      </c>
    </row>
    <row r="129" spans="1:1" s="31" customFormat="1" ht="39" x14ac:dyDescent="0.2">
      <c r="A129" s="36" t="s">
        <v>442</v>
      </c>
    </row>
    <row r="130" spans="1:1" s="31" customFormat="1" ht="39" x14ac:dyDescent="0.2">
      <c r="A130" s="35" t="s">
        <v>407</v>
      </c>
    </row>
    <row r="131" spans="1:1" s="31" customFormat="1" ht="26" x14ac:dyDescent="0.2">
      <c r="A131" s="36" t="s">
        <v>173</v>
      </c>
    </row>
    <row r="132" spans="1:1" s="31" customFormat="1" ht="26" x14ac:dyDescent="0.2">
      <c r="A132" s="35" t="s">
        <v>70</v>
      </c>
    </row>
    <row r="133" spans="1:1" s="31" customFormat="1" x14ac:dyDescent="0.2">
      <c r="A133" s="36" t="s">
        <v>186</v>
      </c>
    </row>
    <row r="134" spans="1:1" s="31" customFormat="1" ht="26" x14ac:dyDescent="0.2">
      <c r="A134" s="35" t="s">
        <v>292</v>
      </c>
    </row>
    <row r="135" spans="1:1" s="31" customFormat="1" ht="39" x14ac:dyDescent="0.2">
      <c r="A135" s="36" t="s">
        <v>251</v>
      </c>
    </row>
    <row r="136" spans="1:1" s="31" customFormat="1" ht="39" x14ac:dyDescent="0.2">
      <c r="A136" s="35" t="s">
        <v>241</v>
      </c>
    </row>
    <row r="137" spans="1:1" s="31" customFormat="1" ht="39" x14ac:dyDescent="0.2">
      <c r="A137" s="36" t="s">
        <v>269</v>
      </c>
    </row>
    <row r="138" spans="1:1" s="31" customFormat="1" x14ac:dyDescent="0.2">
      <c r="A138" s="35" t="s">
        <v>331</v>
      </c>
    </row>
    <row r="139" spans="1:1" s="31" customFormat="1" x14ac:dyDescent="0.2">
      <c r="A139" s="36" t="s">
        <v>391</v>
      </c>
    </row>
    <row r="140" spans="1:1" s="31" customFormat="1" ht="39" x14ac:dyDescent="0.2">
      <c r="A140" s="35" t="s">
        <v>459</v>
      </c>
    </row>
    <row r="141" spans="1:1" s="31" customFormat="1" ht="26" x14ac:dyDescent="0.2">
      <c r="A141" s="36" t="s">
        <v>173</v>
      </c>
    </row>
    <row r="142" spans="1:1" s="31" customFormat="1" x14ac:dyDescent="0.2">
      <c r="A142" s="35" t="s">
        <v>464</v>
      </c>
    </row>
    <row r="143" spans="1:1" s="31" customFormat="1" x14ac:dyDescent="0.2">
      <c r="A143" s="36" t="s">
        <v>100</v>
      </c>
    </row>
    <row r="144" spans="1:1" s="31" customFormat="1" x14ac:dyDescent="0.2">
      <c r="A144" s="35" t="s">
        <v>468</v>
      </c>
    </row>
    <row r="145" spans="1:1" s="31" customFormat="1" ht="39" x14ac:dyDescent="0.2">
      <c r="A145" s="36" t="s">
        <v>269</v>
      </c>
    </row>
    <row r="146" spans="1:1" s="31" customFormat="1" x14ac:dyDescent="0.2">
      <c r="A146" s="35" t="s">
        <v>473</v>
      </c>
    </row>
    <row r="147" spans="1:1" s="31" customFormat="1" ht="26" x14ac:dyDescent="0.2">
      <c r="A147" s="36" t="s">
        <v>163</v>
      </c>
    </row>
    <row r="148" spans="1:1" s="31" customFormat="1" ht="26" x14ac:dyDescent="0.2">
      <c r="A148" s="35" t="s">
        <v>173</v>
      </c>
    </row>
    <row r="149" spans="1:1" s="31" customFormat="1" ht="39" x14ac:dyDescent="0.2">
      <c r="A149" s="36" t="s">
        <v>131</v>
      </c>
    </row>
    <row r="150" spans="1:1" s="31" customFormat="1" x14ac:dyDescent="0.2">
      <c r="A150" s="35" t="s">
        <v>190</v>
      </c>
    </row>
    <row r="151" spans="1:1" s="31" customFormat="1" ht="39" x14ac:dyDescent="0.2">
      <c r="A151" s="36" t="s">
        <v>77</v>
      </c>
    </row>
    <row r="152" spans="1:1" s="31" customFormat="1" ht="26" x14ac:dyDescent="0.2">
      <c r="A152" s="37" t="s">
        <v>116</v>
      </c>
    </row>
  </sheetData>
  <pageMargins left="0.70000000000000007" right="0.70000000000000007" top="0.75" bottom="0.75" header="0.30000000000000004" footer="0.3000000000000000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C78F-407B-4C11-8C68-F84F8B023DD8}">
  <dimension ref="A3:B11"/>
  <sheetViews>
    <sheetView topLeftCell="A11" workbookViewId="0">
      <selection activeCell="A19" sqref="A19"/>
    </sheetView>
  </sheetViews>
  <sheetFormatPr baseColWidth="10" defaultColWidth="10.83203125" defaultRowHeight="15" x14ac:dyDescent="0.2"/>
  <cols>
    <col min="1" max="1" width="85.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55</v>
      </c>
      <c r="B4" t="s">
        <v>485</v>
      </c>
    </row>
    <row r="5" spans="1:2" x14ac:dyDescent="0.2">
      <c r="A5" t="s">
        <v>594</v>
      </c>
      <c r="B5" s="26">
        <v>0.15894039735099338</v>
      </c>
    </row>
    <row r="6" spans="1:2" x14ac:dyDescent="0.2">
      <c r="A6" t="s">
        <v>598</v>
      </c>
      <c r="B6" s="26">
        <v>0.15894039735099338</v>
      </c>
    </row>
    <row r="7" spans="1:2" x14ac:dyDescent="0.2">
      <c r="A7" t="s">
        <v>597</v>
      </c>
      <c r="B7" s="26">
        <v>0.22075055187637968</v>
      </c>
    </row>
    <row r="8" spans="1:2" x14ac:dyDescent="0.2">
      <c r="A8" t="s">
        <v>596</v>
      </c>
      <c r="B8" s="26">
        <v>0.13686534216335541</v>
      </c>
    </row>
    <row r="9" spans="1:2" x14ac:dyDescent="0.2">
      <c r="A9" t="s">
        <v>595</v>
      </c>
      <c r="B9" s="26">
        <v>0.16114790286975716</v>
      </c>
    </row>
    <row r="10" spans="1:2" x14ac:dyDescent="0.2">
      <c r="A10" t="s">
        <v>593</v>
      </c>
      <c r="B10" s="26">
        <v>0.16335540838852097</v>
      </c>
    </row>
    <row r="11" spans="1:2" x14ac:dyDescent="0.2">
      <c r="A11" t="s">
        <v>6</v>
      </c>
      <c r="B11" s="26">
        <v>1</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ED91A-A0AF-4D35-ACE2-77413CA9EE5B}">
  <dimension ref="A1:G152"/>
  <sheetViews>
    <sheetView zoomScale="90" zoomScaleNormal="90" workbookViewId="0">
      <selection activeCell="D1" sqref="D1"/>
    </sheetView>
  </sheetViews>
  <sheetFormatPr baseColWidth="10" defaultColWidth="11.83203125" defaultRowHeight="15" x14ac:dyDescent="0.2"/>
  <cols>
    <col min="1" max="1" width="71.1640625" customWidth="1"/>
    <col min="2" max="2" width="9.6640625" customWidth="1"/>
    <col min="3" max="3" width="63.83203125" customWidth="1"/>
    <col min="4" max="4" width="9.1640625" customWidth="1"/>
    <col min="5" max="5" width="11.83203125" customWidth="1"/>
    <col min="6" max="6" width="38.5" customWidth="1"/>
    <col min="7" max="7" width="11.1640625" customWidth="1"/>
  </cols>
  <sheetData>
    <row r="1" spans="1:7" ht="27" x14ac:dyDescent="0.2">
      <c r="A1" s="8" t="s">
        <v>55</v>
      </c>
      <c r="C1" s="8" t="s">
        <v>55</v>
      </c>
      <c r="D1" s="41" t="s">
        <v>485</v>
      </c>
      <c r="E1" s="31"/>
      <c r="F1" s="8" t="str">
        <f>$A1</f>
        <v>Quels sont, selon vous, les freins à l’intégration de l’ostéopathie dans la pratique sage-femme ?</v>
      </c>
      <c r="G1" s="41" t="s">
        <v>575</v>
      </c>
    </row>
    <row r="2" spans="1:7" ht="48" x14ac:dyDescent="0.2">
      <c r="A2" s="9" t="s">
        <v>71</v>
      </c>
      <c r="C2" s="31" t="s">
        <v>238</v>
      </c>
      <c r="D2" s="31">
        <f>COUNTIF($A$2:$A$152,"*Peu de contenus pédagogiques sur les principes ostéopathiques inscrits au parcours académique*")</f>
        <v>74</v>
      </c>
      <c r="E2" s="31"/>
      <c r="F2" s="31" t="str">
        <f t="shared" ref="F2:F3" si="0">C2&amp;" "&amp;"(n="&amp;D2&amp;")"</f>
        <v>Peu de contenus pédagogiques sur les principes ostéopathiques inscrits au parcours académique (n=74)</v>
      </c>
      <c r="G2" s="32">
        <f t="shared" ref="G2:G7" si="1">D2/SUM(D$2:D$7)</f>
        <v>0.16335540838852097</v>
      </c>
    </row>
    <row r="3" spans="1:7" ht="40" x14ac:dyDescent="0.2">
      <c r="A3" s="10" t="s">
        <v>78</v>
      </c>
      <c r="C3" s="31" t="s">
        <v>511</v>
      </c>
      <c r="D3" s="31">
        <f>COUNTIF($A$2:$A$152,"*Absence de connaissances sur la pratique ostéopathique*")</f>
        <v>72</v>
      </c>
      <c r="E3" s="31"/>
      <c r="F3" s="31" t="str">
        <f t="shared" si="0"/>
        <v>Absence de connaissances sur la pratique ostéopathique (n=72)</v>
      </c>
      <c r="G3" s="32">
        <f t="shared" si="1"/>
        <v>0.15894039735099338</v>
      </c>
    </row>
    <row r="4" spans="1:7" ht="40" x14ac:dyDescent="0.2">
      <c r="A4" s="9" t="s">
        <v>84</v>
      </c>
      <c r="C4" s="31" t="s">
        <v>193</v>
      </c>
      <c r="D4" s="31">
        <f>COUNTIF($A$2:$A$152,"*Insuffisance de preuves scientifiques*")</f>
        <v>73</v>
      </c>
      <c r="E4" s="31"/>
      <c r="F4" s="31" t="str">
        <f t="shared" ref="F4:F6" si="2">C4&amp;" "&amp;"(n="&amp;D4&amp;")"</f>
        <v>Insuffisance de preuves scientifiques (n=73)</v>
      </c>
      <c r="G4" s="32">
        <f t="shared" si="1"/>
        <v>0.16114790286975716</v>
      </c>
    </row>
    <row r="5" spans="1:7" ht="32" x14ac:dyDescent="0.2">
      <c r="A5" s="10" t="s">
        <v>92</v>
      </c>
      <c r="C5" s="31" t="s">
        <v>345</v>
      </c>
      <c r="D5" s="31">
        <f>COUNTIF($A$2:$A$152,"*Insuffisance de collaboration interprofessionnelle avec des ostéopathes*")</f>
        <v>62</v>
      </c>
      <c r="E5" s="31"/>
      <c r="F5" s="31" t="str">
        <f t="shared" si="2"/>
        <v>Insuffisance de collaboration interprofessionnelle avec des ostéopathes (n=62)</v>
      </c>
      <c r="G5" s="32">
        <f t="shared" si="1"/>
        <v>0.13686534216335541</v>
      </c>
    </row>
    <row r="6" spans="1:7" ht="40" x14ac:dyDescent="0.2">
      <c r="A6" s="9" t="s">
        <v>96</v>
      </c>
      <c r="C6" s="31" t="s">
        <v>187</v>
      </c>
      <c r="D6" s="31">
        <f>COUNTIF($A$2:$A$152,"*Coût pour les patientes*")</f>
        <v>100</v>
      </c>
      <c r="E6" s="31"/>
      <c r="F6" s="31" t="str">
        <f t="shared" si="2"/>
        <v>Coût pour les patientes (n=100)</v>
      </c>
      <c r="G6" s="32">
        <f t="shared" si="1"/>
        <v>0.22075055187637968</v>
      </c>
    </row>
    <row r="7" spans="1:7" ht="40" x14ac:dyDescent="0.2">
      <c r="A7" s="10" t="s">
        <v>84</v>
      </c>
      <c r="C7" s="31" t="s">
        <v>482</v>
      </c>
      <c r="D7" s="31">
        <v>72</v>
      </c>
      <c r="E7" s="31"/>
      <c r="F7" s="31" t="str">
        <f t="shared" ref="F7" si="3">C7&amp;" "&amp;"(n="&amp;D7&amp;")"</f>
        <v>Absence de reconnaissance institutionnelle (n=72)</v>
      </c>
      <c r="G7" s="32">
        <f t="shared" si="1"/>
        <v>0.15894039735099338</v>
      </c>
    </row>
    <row r="8" spans="1:7" ht="40" x14ac:dyDescent="0.2">
      <c r="A8" s="9" t="s">
        <v>106</v>
      </c>
    </row>
    <row r="9" spans="1:7" ht="53" x14ac:dyDescent="0.2">
      <c r="A9" s="10" t="s">
        <v>111</v>
      </c>
      <c r="D9">
        <f>SUM(D2:D7)</f>
        <v>453</v>
      </c>
      <c r="G9" s="33">
        <f>SUM(G2:G7)</f>
        <v>1</v>
      </c>
    </row>
    <row r="10" spans="1:7" ht="27" x14ac:dyDescent="0.2">
      <c r="A10" s="9" t="s">
        <v>117</v>
      </c>
    </row>
    <row r="11" spans="1:7" ht="40" x14ac:dyDescent="0.2">
      <c r="A11" s="10" t="s">
        <v>122</v>
      </c>
    </row>
    <row r="12" spans="1:7" ht="27" x14ac:dyDescent="0.2">
      <c r="A12" s="9" t="s">
        <v>128</v>
      </c>
    </row>
    <row r="13" spans="1:7" ht="40" x14ac:dyDescent="0.2">
      <c r="A13" s="10" t="s">
        <v>132</v>
      </c>
    </row>
    <row r="14" spans="1:7" x14ac:dyDescent="0.2">
      <c r="A14" s="9" t="s">
        <v>137</v>
      </c>
    </row>
    <row r="15" spans="1:7" ht="27" x14ac:dyDescent="0.2">
      <c r="A15" s="10" t="s">
        <v>145</v>
      </c>
    </row>
    <row r="16" spans="1:7" ht="40" x14ac:dyDescent="0.2">
      <c r="A16" s="9" t="s">
        <v>106</v>
      </c>
    </row>
    <row r="17" spans="1:1" ht="53" x14ac:dyDescent="0.2">
      <c r="A17" s="10" t="s">
        <v>155</v>
      </c>
    </row>
    <row r="18" spans="1:1" ht="27" x14ac:dyDescent="0.2">
      <c r="A18" s="9" t="s">
        <v>145</v>
      </c>
    </row>
    <row r="19" spans="1:1" x14ac:dyDescent="0.2">
      <c r="A19" s="10" t="s">
        <v>164</v>
      </c>
    </row>
    <row r="20" spans="1:1" ht="27" x14ac:dyDescent="0.2">
      <c r="A20" s="9" t="s">
        <v>92</v>
      </c>
    </row>
    <row r="21" spans="1:1" ht="40" x14ac:dyDescent="0.2">
      <c r="A21" s="10" t="s">
        <v>96</v>
      </c>
    </row>
    <row r="22" spans="1:1" ht="27" x14ac:dyDescent="0.2">
      <c r="A22" s="9" t="s">
        <v>174</v>
      </c>
    </row>
    <row r="23" spans="1:1" ht="27" x14ac:dyDescent="0.2">
      <c r="A23" s="10" t="s">
        <v>179</v>
      </c>
    </row>
    <row r="24" spans="1:1" ht="27" x14ac:dyDescent="0.2">
      <c r="A24" s="9" t="s">
        <v>183</v>
      </c>
    </row>
    <row r="25" spans="1:1" x14ac:dyDescent="0.2">
      <c r="A25" s="10" t="s">
        <v>187</v>
      </c>
    </row>
    <row r="26" spans="1:1" ht="40" x14ac:dyDescent="0.2">
      <c r="A26" s="9" t="s">
        <v>191</v>
      </c>
    </row>
    <row r="27" spans="1:1" x14ac:dyDescent="0.2">
      <c r="A27" s="10" t="s">
        <v>193</v>
      </c>
    </row>
    <row r="28" spans="1:1" ht="27" x14ac:dyDescent="0.2">
      <c r="A28" s="9" t="s">
        <v>128</v>
      </c>
    </row>
    <row r="29" spans="1:1" ht="27" x14ac:dyDescent="0.2">
      <c r="A29" s="10" t="s">
        <v>210</v>
      </c>
    </row>
    <row r="30" spans="1:1" ht="27" x14ac:dyDescent="0.2">
      <c r="A30" s="9" t="s">
        <v>183</v>
      </c>
    </row>
    <row r="31" spans="1:1" x14ac:dyDescent="0.2">
      <c r="A31" s="10" t="s">
        <v>588</v>
      </c>
    </row>
    <row r="32" spans="1:1" x14ac:dyDescent="0.2">
      <c r="A32" s="9" t="s">
        <v>215</v>
      </c>
    </row>
    <row r="33" spans="1:1" ht="40" x14ac:dyDescent="0.2">
      <c r="A33" s="10" t="s">
        <v>78</v>
      </c>
    </row>
    <row r="34" spans="1:1" ht="53" x14ac:dyDescent="0.2">
      <c r="A34" s="9" t="s">
        <v>155</v>
      </c>
    </row>
    <row r="35" spans="1:1" ht="40" x14ac:dyDescent="0.2">
      <c r="A35" s="10" t="s">
        <v>84</v>
      </c>
    </row>
    <row r="36" spans="1:1" ht="27" x14ac:dyDescent="0.2">
      <c r="A36" s="9" t="s">
        <v>210</v>
      </c>
    </row>
    <row r="37" spans="1:1" ht="27" x14ac:dyDescent="0.2">
      <c r="A37" s="10" t="s">
        <v>236</v>
      </c>
    </row>
    <row r="38" spans="1:1" ht="27" x14ac:dyDescent="0.2">
      <c r="A38" s="9" t="s">
        <v>238</v>
      </c>
    </row>
    <row r="39" spans="1:1" ht="27" x14ac:dyDescent="0.2">
      <c r="A39" s="10" t="s">
        <v>242</v>
      </c>
    </row>
    <row r="40" spans="1:1" ht="53" x14ac:dyDescent="0.2">
      <c r="A40" s="9" t="s">
        <v>244</v>
      </c>
    </row>
    <row r="41" spans="1:1" ht="40" x14ac:dyDescent="0.2">
      <c r="A41" s="10" t="s">
        <v>248</v>
      </c>
    </row>
    <row r="42" spans="1:1" ht="40" x14ac:dyDescent="0.2">
      <c r="A42" s="9" t="s">
        <v>252</v>
      </c>
    </row>
    <row r="43" spans="1:1" ht="53" x14ac:dyDescent="0.2">
      <c r="A43" s="10" t="s">
        <v>244</v>
      </c>
    </row>
    <row r="44" spans="1:1" ht="27" x14ac:dyDescent="0.2">
      <c r="A44" s="9" t="s">
        <v>183</v>
      </c>
    </row>
    <row r="45" spans="1:1" ht="27" x14ac:dyDescent="0.2">
      <c r="A45" s="10" t="s">
        <v>259</v>
      </c>
    </row>
    <row r="46" spans="1:1" x14ac:dyDescent="0.2">
      <c r="A46" s="9" t="s">
        <v>187</v>
      </c>
    </row>
    <row r="47" spans="1:1" ht="27" x14ac:dyDescent="0.2">
      <c r="A47" s="10" t="s">
        <v>238</v>
      </c>
    </row>
    <row r="48" spans="1:1" x14ac:dyDescent="0.2">
      <c r="A48" s="9" t="s">
        <v>215</v>
      </c>
    </row>
    <row r="49" spans="1:1" ht="27" x14ac:dyDescent="0.2">
      <c r="A49" s="10" t="s">
        <v>270</v>
      </c>
    </row>
    <row r="50" spans="1:1" ht="40" x14ac:dyDescent="0.2">
      <c r="A50" s="9" t="s">
        <v>370</v>
      </c>
    </row>
    <row r="51" spans="1:1" ht="53" x14ac:dyDescent="0.2">
      <c r="A51" s="10" t="s">
        <v>111</v>
      </c>
    </row>
    <row r="52" spans="1:1" ht="53" x14ac:dyDescent="0.2">
      <c r="A52" s="9" t="s">
        <v>122</v>
      </c>
    </row>
    <row r="53" spans="1:1" ht="40" x14ac:dyDescent="0.2">
      <c r="A53" s="10" t="s">
        <v>278</v>
      </c>
    </row>
    <row r="54" spans="1:1" ht="53" x14ac:dyDescent="0.2">
      <c r="A54" s="9" t="s">
        <v>279</v>
      </c>
    </row>
    <row r="55" spans="1:1" ht="40" x14ac:dyDescent="0.2">
      <c r="A55" s="10" t="s">
        <v>71</v>
      </c>
    </row>
    <row r="56" spans="1:1" ht="40" x14ac:dyDescent="0.2">
      <c r="A56" s="9" t="s">
        <v>286</v>
      </c>
    </row>
    <row r="57" spans="1:1" ht="40" x14ac:dyDescent="0.2">
      <c r="A57" s="10" t="s">
        <v>248</v>
      </c>
    </row>
    <row r="58" spans="1:1" x14ac:dyDescent="0.2">
      <c r="A58" s="9" t="s">
        <v>215</v>
      </c>
    </row>
    <row r="59" spans="1:1" ht="53" x14ac:dyDescent="0.2">
      <c r="A59" s="10" t="s">
        <v>155</v>
      </c>
    </row>
    <row r="60" spans="1:1" ht="40" x14ac:dyDescent="0.2">
      <c r="A60" s="9" t="s">
        <v>248</v>
      </c>
    </row>
    <row r="61" spans="1:1" x14ac:dyDescent="0.2">
      <c r="A61" s="10" t="s">
        <v>187</v>
      </c>
    </row>
    <row r="62" spans="1:1" ht="40" x14ac:dyDescent="0.2">
      <c r="A62" s="9" t="s">
        <v>302</v>
      </c>
    </row>
    <row r="63" spans="1:1" ht="27" x14ac:dyDescent="0.2">
      <c r="A63" s="10" t="s">
        <v>305</v>
      </c>
    </row>
    <row r="64" spans="1:1" ht="53" x14ac:dyDescent="0.2">
      <c r="A64" s="9" t="s">
        <v>279</v>
      </c>
    </row>
    <row r="65" spans="1:1" ht="40" x14ac:dyDescent="0.2">
      <c r="A65" s="10" t="s">
        <v>106</v>
      </c>
    </row>
    <row r="66" spans="1:1" ht="27" x14ac:dyDescent="0.2">
      <c r="A66" s="9" t="s">
        <v>270</v>
      </c>
    </row>
    <row r="67" spans="1:1" x14ac:dyDescent="0.2">
      <c r="A67" s="10" t="s">
        <v>164</v>
      </c>
    </row>
    <row r="68" spans="1:1" ht="53" x14ac:dyDescent="0.2">
      <c r="A68" s="9" t="s">
        <v>155</v>
      </c>
    </row>
    <row r="69" spans="1:1" ht="53" x14ac:dyDescent="0.2">
      <c r="A69" s="10" t="s">
        <v>279</v>
      </c>
    </row>
    <row r="70" spans="1:1" ht="40" x14ac:dyDescent="0.2">
      <c r="A70" s="9" t="s">
        <v>248</v>
      </c>
    </row>
    <row r="71" spans="1:1" ht="53" x14ac:dyDescent="0.2">
      <c r="A71" s="10" t="s">
        <v>111</v>
      </c>
    </row>
    <row r="72" spans="1:1" ht="40" x14ac:dyDescent="0.2">
      <c r="A72" s="9" t="s">
        <v>84</v>
      </c>
    </row>
    <row r="73" spans="1:1" ht="27" x14ac:dyDescent="0.2">
      <c r="A73" s="10" t="s">
        <v>92</v>
      </c>
    </row>
    <row r="74" spans="1:1" ht="27" x14ac:dyDescent="0.2">
      <c r="A74" s="9" t="s">
        <v>128</v>
      </c>
    </row>
    <row r="75" spans="1:1" x14ac:dyDescent="0.2">
      <c r="A75" s="10" t="s">
        <v>137</v>
      </c>
    </row>
    <row r="76" spans="1:1" ht="40" x14ac:dyDescent="0.2">
      <c r="A76" s="9" t="s">
        <v>132</v>
      </c>
    </row>
    <row r="77" spans="1:1" ht="40" x14ac:dyDescent="0.2">
      <c r="A77" s="10" t="s">
        <v>278</v>
      </c>
    </row>
    <row r="78" spans="1:1" ht="27" x14ac:dyDescent="0.2">
      <c r="A78" s="9" t="s">
        <v>92</v>
      </c>
    </row>
    <row r="79" spans="1:1" ht="40" x14ac:dyDescent="0.2">
      <c r="A79" s="10" t="s">
        <v>106</v>
      </c>
    </row>
    <row r="80" spans="1:1" x14ac:dyDescent="0.2">
      <c r="A80" s="9" t="s">
        <v>215</v>
      </c>
    </row>
    <row r="81" spans="1:1" ht="27" x14ac:dyDescent="0.2">
      <c r="A81" s="10" t="s">
        <v>341</v>
      </c>
    </row>
    <row r="82" spans="1:1" ht="53" x14ac:dyDescent="0.2">
      <c r="A82" s="9" t="s">
        <v>155</v>
      </c>
    </row>
    <row r="83" spans="1:1" x14ac:dyDescent="0.2">
      <c r="A83" s="10" t="s">
        <v>345</v>
      </c>
    </row>
    <row r="84" spans="1:1" ht="40" x14ac:dyDescent="0.2">
      <c r="A84" s="9" t="s">
        <v>132</v>
      </c>
    </row>
    <row r="85" spans="1:1" x14ac:dyDescent="0.2">
      <c r="A85" s="10" t="s">
        <v>193</v>
      </c>
    </row>
    <row r="86" spans="1:1" ht="27" x14ac:dyDescent="0.2">
      <c r="A86" s="9" t="s">
        <v>349</v>
      </c>
    </row>
    <row r="87" spans="1:1" x14ac:dyDescent="0.2">
      <c r="A87" s="10" t="s">
        <v>351</v>
      </c>
    </row>
    <row r="88" spans="1:1" ht="27" x14ac:dyDescent="0.2">
      <c r="A88" s="9" t="s">
        <v>359</v>
      </c>
    </row>
    <row r="89" spans="1:1" ht="40" x14ac:dyDescent="0.2">
      <c r="A89" s="10" t="s">
        <v>362</v>
      </c>
    </row>
    <row r="90" spans="1:1" ht="27" x14ac:dyDescent="0.2">
      <c r="A90" s="9" t="s">
        <v>364</v>
      </c>
    </row>
    <row r="91" spans="1:1" ht="27" x14ac:dyDescent="0.2">
      <c r="A91" s="10" t="s">
        <v>183</v>
      </c>
    </row>
    <row r="92" spans="1:1" ht="27" x14ac:dyDescent="0.2">
      <c r="A92" s="9" t="s">
        <v>183</v>
      </c>
    </row>
    <row r="93" spans="1:1" ht="40" x14ac:dyDescent="0.2">
      <c r="A93" s="10" t="s">
        <v>370</v>
      </c>
    </row>
    <row r="94" spans="1:1" ht="27" x14ac:dyDescent="0.2">
      <c r="A94" s="9" t="s">
        <v>364</v>
      </c>
    </row>
    <row r="95" spans="1:1" ht="27" x14ac:dyDescent="0.2">
      <c r="A95" s="10" t="s">
        <v>236</v>
      </c>
    </row>
    <row r="96" spans="1:1" ht="40" x14ac:dyDescent="0.2">
      <c r="A96" s="9" t="s">
        <v>286</v>
      </c>
    </row>
    <row r="97" spans="1:1" ht="27" x14ac:dyDescent="0.2">
      <c r="A97" s="10" t="s">
        <v>238</v>
      </c>
    </row>
    <row r="98" spans="1:1" x14ac:dyDescent="0.2">
      <c r="A98" s="9" t="s">
        <v>351</v>
      </c>
    </row>
    <row r="99" spans="1:1" ht="40" x14ac:dyDescent="0.2">
      <c r="A99" s="10" t="s">
        <v>106</v>
      </c>
    </row>
    <row r="100" spans="1:1" x14ac:dyDescent="0.2">
      <c r="A100" s="9" t="s">
        <v>137</v>
      </c>
    </row>
    <row r="101" spans="1:1" ht="40" x14ac:dyDescent="0.2">
      <c r="A101" s="10" t="s">
        <v>252</v>
      </c>
    </row>
    <row r="102" spans="1:1" ht="27" x14ac:dyDescent="0.2">
      <c r="A102" s="9" t="s">
        <v>270</v>
      </c>
    </row>
    <row r="103" spans="1:1" x14ac:dyDescent="0.2">
      <c r="A103" s="10" t="s">
        <v>193</v>
      </c>
    </row>
    <row r="104" spans="1:1" ht="27" x14ac:dyDescent="0.2">
      <c r="A104" s="9" t="s">
        <v>183</v>
      </c>
    </row>
    <row r="105" spans="1:1" ht="40" x14ac:dyDescent="0.2">
      <c r="A105" s="10" t="s">
        <v>191</v>
      </c>
    </row>
    <row r="106" spans="1:1" ht="27" x14ac:dyDescent="0.2">
      <c r="A106" s="9" t="s">
        <v>242</v>
      </c>
    </row>
    <row r="107" spans="1:1" ht="40" x14ac:dyDescent="0.2">
      <c r="A107" s="10" t="s">
        <v>409</v>
      </c>
    </row>
    <row r="108" spans="1:1" ht="27" x14ac:dyDescent="0.2">
      <c r="A108" s="9" t="s">
        <v>413</v>
      </c>
    </row>
    <row r="109" spans="1:1" ht="40" x14ac:dyDescent="0.2">
      <c r="A109" s="10" t="s">
        <v>362</v>
      </c>
    </row>
    <row r="110" spans="1:1" x14ac:dyDescent="0.2">
      <c r="A110" s="9" t="s">
        <v>351</v>
      </c>
    </row>
    <row r="111" spans="1:1" x14ac:dyDescent="0.2">
      <c r="A111" s="10" t="s">
        <v>215</v>
      </c>
    </row>
    <row r="112" spans="1:1" x14ac:dyDescent="0.2">
      <c r="A112" s="9" t="s">
        <v>187</v>
      </c>
    </row>
    <row r="113" spans="1:1" ht="27" x14ac:dyDescent="0.2">
      <c r="A113" s="10" t="s">
        <v>117</v>
      </c>
    </row>
    <row r="114" spans="1:1" x14ac:dyDescent="0.2">
      <c r="A114" s="9" t="s">
        <v>351</v>
      </c>
    </row>
    <row r="115" spans="1:1" ht="27" x14ac:dyDescent="0.2">
      <c r="A115" s="10" t="s">
        <v>183</v>
      </c>
    </row>
    <row r="116" spans="1:1" ht="40" x14ac:dyDescent="0.2">
      <c r="A116" s="9" t="s">
        <v>132</v>
      </c>
    </row>
    <row r="117" spans="1:1" x14ac:dyDescent="0.2">
      <c r="A117" s="10" t="s">
        <v>137</v>
      </c>
    </row>
    <row r="118" spans="1:1" ht="40" x14ac:dyDescent="0.2">
      <c r="A118" s="9" t="s">
        <v>302</v>
      </c>
    </row>
    <row r="119" spans="1:1" ht="27" x14ac:dyDescent="0.2">
      <c r="A119" s="10" t="s">
        <v>183</v>
      </c>
    </row>
    <row r="120" spans="1:1" ht="27" x14ac:dyDescent="0.2">
      <c r="A120" s="9" t="s">
        <v>305</v>
      </c>
    </row>
    <row r="121" spans="1:1" ht="27" x14ac:dyDescent="0.2">
      <c r="A121" s="10" t="s">
        <v>364</v>
      </c>
    </row>
    <row r="122" spans="1:1" ht="27" x14ac:dyDescent="0.2">
      <c r="A122" s="9" t="s">
        <v>179</v>
      </c>
    </row>
    <row r="123" spans="1:1" ht="27" x14ac:dyDescent="0.2">
      <c r="A123" s="10" t="s">
        <v>242</v>
      </c>
    </row>
    <row r="124" spans="1:1" ht="27" x14ac:dyDescent="0.2">
      <c r="A124" s="9" t="s">
        <v>433</v>
      </c>
    </row>
    <row r="125" spans="1:1" ht="40" x14ac:dyDescent="0.2">
      <c r="A125" s="10" t="s">
        <v>435</v>
      </c>
    </row>
    <row r="126" spans="1:1" ht="27" x14ac:dyDescent="0.2">
      <c r="A126" s="9" t="s">
        <v>341</v>
      </c>
    </row>
    <row r="127" spans="1:1" x14ac:dyDescent="0.2">
      <c r="A127" s="10" t="s">
        <v>215</v>
      </c>
    </row>
    <row r="128" spans="1:1" ht="40" x14ac:dyDescent="0.2">
      <c r="A128" s="9" t="s">
        <v>106</v>
      </c>
    </row>
    <row r="129" spans="1:1" x14ac:dyDescent="0.2">
      <c r="A129" s="10" t="s">
        <v>187</v>
      </c>
    </row>
    <row r="130" spans="1:1" ht="27" x14ac:dyDescent="0.2">
      <c r="A130" s="9" t="s">
        <v>443</v>
      </c>
    </row>
    <row r="131" spans="1:1" ht="27" x14ac:dyDescent="0.2">
      <c r="A131" s="10" t="s">
        <v>183</v>
      </c>
    </row>
    <row r="132" spans="1:1" ht="27" x14ac:dyDescent="0.2">
      <c r="A132" s="9" t="s">
        <v>259</v>
      </c>
    </row>
    <row r="133" spans="1:1" x14ac:dyDescent="0.2">
      <c r="A133" s="10" t="s">
        <v>187</v>
      </c>
    </row>
    <row r="134" spans="1:1" ht="27" x14ac:dyDescent="0.2">
      <c r="A134" s="9" t="s">
        <v>341</v>
      </c>
    </row>
    <row r="135" spans="1:1" ht="53" x14ac:dyDescent="0.2">
      <c r="A135" s="10" t="s">
        <v>155</v>
      </c>
    </row>
    <row r="136" spans="1:1" x14ac:dyDescent="0.2">
      <c r="A136" s="9" t="s">
        <v>137</v>
      </c>
    </row>
    <row r="137" spans="1:1" ht="27" x14ac:dyDescent="0.2">
      <c r="A137" s="10" t="s">
        <v>457</v>
      </c>
    </row>
    <row r="138" spans="1:1" ht="27" x14ac:dyDescent="0.2">
      <c r="A138" s="9" t="s">
        <v>92</v>
      </c>
    </row>
    <row r="139" spans="1:1" ht="27" x14ac:dyDescent="0.2">
      <c r="A139" s="10" t="s">
        <v>458</v>
      </c>
    </row>
    <row r="140" spans="1:1" ht="53" x14ac:dyDescent="0.2">
      <c r="A140" s="9" t="s">
        <v>155</v>
      </c>
    </row>
    <row r="141" spans="1:1" ht="27" x14ac:dyDescent="0.2">
      <c r="A141" s="10" t="s">
        <v>413</v>
      </c>
    </row>
    <row r="142" spans="1:1" ht="27" x14ac:dyDescent="0.2">
      <c r="A142" s="9" t="s">
        <v>92</v>
      </c>
    </row>
    <row r="143" spans="1:1" x14ac:dyDescent="0.2">
      <c r="A143" s="10" t="s">
        <v>187</v>
      </c>
    </row>
    <row r="144" spans="1:1" x14ac:dyDescent="0.2">
      <c r="A144" s="9" t="s">
        <v>187</v>
      </c>
    </row>
    <row r="145" spans="1:1" ht="53" x14ac:dyDescent="0.2">
      <c r="A145" s="10" t="s">
        <v>244</v>
      </c>
    </row>
    <row r="146" spans="1:1" x14ac:dyDescent="0.2">
      <c r="A146" s="9" t="s">
        <v>351</v>
      </c>
    </row>
    <row r="147" spans="1:1" ht="40" x14ac:dyDescent="0.2">
      <c r="A147" s="10" t="s">
        <v>278</v>
      </c>
    </row>
    <row r="148" spans="1:1" ht="40" x14ac:dyDescent="0.2">
      <c r="A148" s="9" t="s">
        <v>481</v>
      </c>
    </row>
    <row r="149" spans="1:1" ht="40" x14ac:dyDescent="0.2">
      <c r="A149" s="10" t="s">
        <v>286</v>
      </c>
    </row>
    <row r="150" spans="1:1" ht="27" x14ac:dyDescent="0.2">
      <c r="A150" s="9" t="s">
        <v>183</v>
      </c>
    </row>
    <row r="151" spans="1:1" x14ac:dyDescent="0.2">
      <c r="A151" s="10" t="s">
        <v>482</v>
      </c>
    </row>
    <row r="152" spans="1:1" x14ac:dyDescent="0.2">
      <c r="A152" s="11" t="s">
        <v>187</v>
      </c>
    </row>
  </sheetData>
  <pageMargins left="0.70000000000000007" right="0.70000000000000007" top="0.75" bottom="0.75" header="0.30000000000000004" footer="0.3000000000000000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8B13-1CE1-40AF-8397-811B43207613}">
  <dimension ref="A3:B15"/>
  <sheetViews>
    <sheetView topLeftCell="A9" zoomScale="71" workbookViewId="0">
      <selection activeCell="A21" sqref="A21"/>
    </sheetView>
  </sheetViews>
  <sheetFormatPr baseColWidth="10" defaultColWidth="10.83203125" defaultRowHeight="15" x14ac:dyDescent="0.2"/>
  <cols>
    <col min="1" max="1" width="80.6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56</v>
      </c>
      <c r="B4" t="s">
        <v>485</v>
      </c>
    </row>
    <row r="5" spans="1:2" x14ac:dyDescent="0.2">
      <c r="A5" t="s">
        <v>600</v>
      </c>
      <c r="B5" s="26">
        <v>0.13382899628252787</v>
      </c>
    </row>
    <row r="6" spans="1:2" x14ac:dyDescent="0.2">
      <c r="A6" t="s">
        <v>606</v>
      </c>
      <c r="B6" s="26">
        <v>8.3643122676579931E-2</v>
      </c>
    </row>
    <row r="7" spans="1:2" x14ac:dyDescent="0.2">
      <c r="A7" t="s">
        <v>607</v>
      </c>
      <c r="B7" s="26">
        <v>0.11895910780669144</v>
      </c>
    </row>
    <row r="8" spans="1:2" x14ac:dyDescent="0.2">
      <c r="A8" t="s">
        <v>609</v>
      </c>
      <c r="B8" s="26">
        <v>7.4349442379182153E-3</v>
      </c>
    </row>
    <row r="9" spans="1:2" x14ac:dyDescent="0.2">
      <c r="A9" t="s">
        <v>605</v>
      </c>
      <c r="B9" s="26">
        <v>0.10037174721189591</v>
      </c>
    </row>
    <row r="10" spans="1:2" x14ac:dyDescent="0.2">
      <c r="A10" t="s">
        <v>608</v>
      </c>
      <c r="B10" s="26">
        <v>9.1078066914498143E-2</v>
      </c>
    </row>
    <row r="11" spans="1:2" x14ac:dyDescent="0.2">
      <c r="A11" t="s">
        <v>604</v>
      </c>
      <c r="B11" s="26">
        <v>2.0446096654275093E-2</v>
      </c>
    </row>
    <row r="12" spans="1:2" x14ac:dyDescent="0.2">
      <c r="A12" t="s">
        <v>603</v>
      </c>
      <c r="B12" s="26">
        <v>0.18029739776951673</v>
      </c>
    </row>
    <row r="13" spans="1:2" x14ac:dyDescent="0.2">
      <c r="A13" t="s">
        <v>601</v>
      </c>
      <c r="B13" s="26">
        <v>0.10966542750929369</v>
      </c>
    </row>
    <row r="14" spans="1:2" x14ac:dyDescent="0.2">
      <c r="A14" t="s">
        <v>602</v>
      </c>
      <c r="B14" s="26">
        <v>0.15427509293680297</v>
      </c>
    </row>
    <row r="15" spans="1:2" x14ac:dyDescent="0.2">
      <c r="A15" t="s">
        <v>6</v>
      </c>
      <c r="B15" s="26">
        <v>0.99999999999999989</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37A3-F613-40ED-9B8A-C457AFD9089A}">
  <dimension ref="A1:G152"/>
  <sheetViews>
    <sheetView topLeftCell="A10" zoomScale="90" zoomScaleNormal="90" workbookViewId="0">
      <selection activeCell="A14" sqref="A14"/>
    </sheetView>
  </sheetViews>
  <sheetFormatPr baseColWidth="10" defaultColWidth="11.83203125" defaultRowHeight="15" x14ac:dyDescent="0.2"/>
  <cols>
    <col min="1" max="1" width="70.1640625" customWidth="1"/>
    <col min="2" max="2" width="7.5" customWidth="1"/>
    <col min="3" max="3" width="63.33203125" style="31" customWidth="1"/>
    <col min="4" max="4" width="9.5" style="31" customWidth="1"/>
    <col min="5" max="5" width="11.83203125" style="31" customWidth="1"/>
    <col min="6" max="6" width="42.5" style="31" customWidth="1"/>
    <col min="7" max="7" width="11.83203125" style="31"/>
  </cols>
  <sheetData>
    <row r="1" spans="1:7" ht="27" x14ac:dyDescent="0.2">
      <c r="A1" s="8" t="s">
        <v>56</v>
      </c>
      <c r="C1" s="34" t="s">
        <v>56</v>
      </c>
      <c r="D1" s="41" t="s">
        <v>485</v>
      </c>
      <c r="F1" s="34" t="str">
        <f>$A1</f>
        <v>Quels sont les facteurs qui influencent votre décision de recommander ou non l’ostéopathie ?</v>
      </c>
      <c r="G1" s="41" t="s">
        <v>575</v>
      </c>
    </row>
    <row r="2" spans="1:7" ht="16" x14ac:dyDescent="0.2">
      <c r="A2" s="9" t="s">
        <v>72</v>
      </c>
      <c r="C2" s="31" t="s">
        <v>265</v>
      </c>
      <c r="D2" s="31">
        <f>COUNTIF($A$2:$A$152,"*Caractère chronique ou aigu des douleurs*")</f>
        <v>72</v>
      </c>
      <c r="F2" s="31" t="str">
        <f t="shared" ref="F2:F3" si="0">C2&amp;" "&amp;"(n="&amp;D2&amp;")"</f>
        <v>Caractère chronique ou aigu des douleurs (n=72)</v>
      </c>
      <c r="G2" s="32">
        <f t="shared" ref="G2:G11" si="1">D2/SUM(D$2:D$11)</f>
        <v>0.13382899628252787</v>
      </c>
    </row>
    <row r="3" spans="1:7" ht="53" x14ac:dyDescent="0.2">
      <c r="A3" s="10" t="s">
        <v>79</v>
      </c>
      <c r="C3" s="31" t="s">
        <v>165</v>
      </c>
      <c r="D3" s="31">
        <f>COUNTIF($A$2:$A$152,"*Réponse ou non aux autres traitements*")</f>
        <v>59</v>
      </c>
      <c r="F3" s="31" t="str">
        <f t="shared" si="0"/>
        <v>Réponse ou non aux autres traitements (n=59)</v>
      </c>
      <c r="G3" s="32">
        <f t="shared" si="1"/>
        <v>0.10966542750929369</v>
      </c>
    </row>
    <row r="4" spans="1:7" ht="27" x14ac:dyDescent="0.2">
      <c r="A4" s="9" t="s">
        <v>85</v>
      </c>
      <c r="C4" s="31" t="s">
        <v>308</v>
      </c>
      <c r="D4" s="31">
        <f>COUNTIF($A$2:$A$152,"*Spécialisation de l’ostéopathe en périnatalité*")</f>
        <v>83</v>
      </c>
      <c r="F4" s="31" t="str">
        <f t="shared" ref="F4:F11" si="2">C4&amp;" "&amp;"(n="&amp;D4&amp;")"</f>
        <v>Spécialisation de l’ostéopathe en périnatalité (n=83)</v>
      </c>
      <c r="G4" s="32">
        <f t="shared" si="1"/>
        <v>0.15427509293680297</v>
      </c>
    </row>
    <row r="5" spans="1:7" ht="32" x14ac:dyDescent="0.2">
      <c r="A5" s="10" t="s">
        <v>72</v>
      </c>
      <c r="C5" s="31" t="s">
        <v>72</v>
      </c>
      <c r="D5" s="31">
        <f>COUNTIF($A$2:$A$152,"*Motivation des patientes pour une prise en charge manuelle complémentaire*")</f>
        <v>97</v>
      </c>
      <c r="F5" s="31" t="str">
        <f t="shared" si="2"/>
        <v>Motivation des patientes pour une prise en charge manuelle complémentaire (n=97)</v>
      </c>
      <c r="G5" s="32">
        <f t="shared" si="1"/>
        <v>0.18029739776951673</v>
      </c>
    </row>
    <row r="6" spans="1:7" ht="40" x14ac:dyDescent="0.2">
      <c r="A6" s="9" t="s">
        <v>97</v>
      </c>
      <c r="C6" s="31" t="s">
        <v>400</v>
      </c>
      <c r="D6" s="31">
        <f>COUNTIF($A$2:$A$152,"*Moment de la douleur*")</f>
        <v>11</v>
      </c>
      <c r="F6" s="31" t="str">
        <f t="shared" si="2"/>
        <v>Moment de la douleur (n=11)</v>
      </c>
      <c r="G6" s="32">
        <f t="shared" si="1"/>
        <v>2.0446096654275093E-2</v>
      </c>
    </row>
    <row r="7" spans="1:7" ht="40" x14ac:dyDescent="0.2">
      <c r="A7" s="10" t="s">
        <v>101</v>
      </c>
      <c r="C7" s="31" t="s">
        <v>524</v>
      </c>
      <c r="D7" s="31">
        <f>COUNTIF($A$2:$A$152,"*Disponibilité et/ou accessibilité d’ostéopathes dans votre réseau*")</f>
        <v>54</v>
      </c>
      <c r="F7" s="31" t="str">
        <f t="shared" si="2"/>
        <v>Disponibilité et/ou accessibilité d’ostéopathes dans votre réseau (n=54)</v>
      </c>
      <c r="G7" s="32">
        <f t="shared" si="1"/>
        <v>0.10037174721189591</v>
      </c>
    </row>
    <row r="8" spans="1:7" ht="53" x14ac:dyDescent="0.2">
      <c r="A8" s="9" t="s">
        <v>107</v>
      </c>
      <c r="C8" s="31" t="s">
        <v>523</v>
      </c>
      <c r="D8" s="31">
        <f>COUNTIF($A$2:$A$152,"*Collaboration interprofessionnelle préexistante*")</f>
        <v>45</v>
      </c>
      <c r="F8" s="31" t="str">
        <f t="shared" si="2"/>
        <v>Collaboration interprofessionnelle préexistante (n=45)</v>
      </c>
      <c r="G8" s="32">
        <f t="shared" si="1"/>
        <v>8.3643122676579931E-2</v>
      </c>
    </row>
    <row r="9" spans="1:7" ht="32" x14ac:dyDescent="0.2">
      <c r="A9" s="10" t="s">
        <v>112</v>
      </c>
      <c r="C9" s="31" t="s">
        <v>434</v>
      </c>
      <c r="D9" s="31">
        <f>COUNTIF($A$2:$A$152,"*Convictions personnelles concernant cette approche thérapeutique*")</f>
        <v>64</v>
      </c>
      <c r="F9" s="31" t="str">
        <f t="shared" si="2"/>
        <v>Convictions personnelles concernant cette approche thérapeutique (n=64)</v>
      </c>
      <c r="G9" s="32">
        <f t="shared" si="1"/>
        <v>0.11895910780669144</v>
      </c>
    </row>
    <row r="10" spans="1:7" ht="53" x14ac:dyDescent="0.2">
      <c r="A10" s="9" t="s">
        <v>107</v>
      </c>
      <c r="C10" s="31" t="s">
        <v>483</v>
      </c>
      <c r="D10" s="31">
        <f>COUNTIF($A$2:$A$152,"*Expérience personnelle antérieure positive ou négative avec l’ostéopathie*")</f>
        <v>49</v>
      </c>
      <c r="F10" s="31" t="str">
        <f t="shared" si="2"/>
        <v>Expérience personnelle antérieure positive ou négative avec l’ostéopathie (n=49)</v>
      </c>
      <c r="G10" s="32">
        <f t="shared" si="1"/>
        <v>9.1078066914498143E-2</v>
      </c>
    </row>
    <row r="11" spans="1:7" ht="79" x14ac:dyDescent="0.2">
      <c r="A11" s="10" t="s">
        <v>123</v>
      </c>
      <c r="C11" s="31" t="s">
        <v>187</v>
      </c>
      <c r="D11" s="31">
        <f>COUNTIF($A$2:$A$152,"*Coût pour les patientes*")</f>
        <v>4</v>
      </c>
      <c r="F11" s="31" t="str">
        <f t="shared" si="2"/>
        <v>Coût pour les patientes (n=4)</v>
      </c>
      <c r="G11" s="32">
        <f t="shared" si="1"/>
        <v>7.4349442379182153E-3</v>
      </c>
    </row>
    <row r="12" spans="1:7" ht="40" x14ac:dyDescent="0.2">
      <c r="A12" s="9" t="s">
        <v>97</v>
      </c>
    </row>
    <row r="13" spans="1:7" ht="66" x14ac:dyDescent="0.2">
      <c r="A13" s="10" t="s">
        <v>133</v>
      </c>
      <c r="D13" s="31">
        <f>SUM(D2:D11)</f>
        <v>538</v>
      </c>
      <c r="G13" s="32">
        <f>SUM(G2:G11)</f>
        <v>1</v>
      </c>
    </row>
    <row r="14" spans="1:7" ht="66" x14ac:dyDescent="0.2">
      <c r="A14" s="9" t="s">
        <v>138</v>
      </c>
    </row>
    <row r="15" spans="1:7" ht="27" x14ac:dyDescent="0.2">
      <c r="A15" s="10" t="s">
        <v>146</v>
      </c>
    </row>
    <row r="16" spans="1:7" ht="40" x14ac:dyDescent="0.2">
      <c r="A16" s="9" t="s">
        <v>150</v>
      </c>
    </row>
    <row r="17" spans="1:1" ht="40" x14ac:dyDescent="0.2">
      <c r="A17" s="10" t="s">
        <v>156</v>
      </c>
    </row>
    <row r="18" spans="1:1" ht="27" x14ac:dyDescent="0.2">
      <c r="A18" s="9" t="s">
        <v>161</v>
      </c>
    </row>
    <row r="19" spans="1:1" x14ac:dyDescent="0.2">
      <c r="A19" s="10" t="s">
        <v>165</v>
      </c>
    </row>
    <row r="20" spans="1:1" ht="27" x14ac:dyDescent="0.2">
      <c r="A20" s="9" t="s">
        <v>168</v>
      </c>
    </row>
    <row r="21" spans="1:1" ht="53" x14ac:dyDescent="0.2">
      <c r="A21" s="10" t="s">
        <v>172</v>
      </c>
    </row>
    <row r="22" spans="1:1" ht="53" x14ac:dyDescent="0.2">
      <c r="A22" s="9" t="s">
        <v>175</v>
      </c>
    </row>
    <row r="23" spans="1:1" x14ac:dyDescent="0.2">
      <c r="A23" s="10" t="s">
        <v>180</v>
      </c>
    </row>
    <row r="24" spans="1:1" ht="40" x14ac:dyDescent="0.2">
      <c r="A24" s="9" t="s">
        <v>589</v>
      </c>
    </row>
    <row r="25" spans="1:1" ht="27" x14ac:dyDescent="0.2">
      <c r="A25" s="10" t="s">
        <v>188</v>
      </c>
    </row>
    <row r="26" spans="1:1" x14ac:dyDescent="0.2">
      <c r="A26" s="9" t="s">
        <v>72</v>
      </c>
    </row>
    <row r="27" spans="1:1" ht="27" x14ac:dyDescent="0.2">
      <c r="A27" s="10" t="s">
        <v>194</v>
      </c>
    </row>
    <row r="28" spans="1:1" ht="66" x14ac:dyDescent="0.2">
      <c r="A28" s="9" t="s">
        <v>201</v>
      </c>
    </row>
    <row r="29" spans="1:1" ht="40" x14ac:dyDescent="0.2">
      <c r="A29" s="10" t="s">
        <v>211</v>
      </c>
    </row>
    <row r="30" spans="1:1" ht="27" x14ac:dyDescent="0.2">
      <c r="A30" s="9" t="s">
        <v>423</v>
      </c>
    </row>
    <row r="31" spans="1:1" x14ac:dyDescent="0.2">
      <c r="A31" s="10" t="s">
        <v>434</v>
      </c>
    </row>
    <row r="32" spans="1:1" ht="40" x14ac:dyDescent="0.2">
      <c r="A32" s="9" t="s">
        <v>216</v>
      </c>
    </row>
    <row r="33" spans="1:1" ht="66" x14ac:dyDescent="0.2">
      <c r="A33" s="10" t="s">
        <v>201</v>
      </c>
    </row>
    <row r="34" spans="1:1" ht="66" x14ac:dyDescent="0.2">
      <c r="A34" s="9" t="s">
        <v>201</v>
      </c>
    </row>
    <row r="35" spans="1:1" ht="40" x14ac:dyDescent="0.2">
      <c r="A35" s="10" t="s">
        <v>228</v>
      </c>
    </row>
    <row r="36" spans="1:1" ht="40" x14ac:dyDescent="0.2">
      <c r="A36" s="9" t="s">
        <v>233</v>
      </c>
    </row>
    <row r="37" spans="1:1" ht="27" x14ac:dyDescent="0.2">
      <c r="A37" s="10" t="s">
        <v>237</v>
      </c>
    </row>
    <row r="38" spans="1:1" ht="27" x14ac:dyDescent="0.2">
      <c r="A38" s="9" t="s">
        <v>85</v>
      </c>
    </row>
    <row r="39" spans="1:1" ht="66" x14ac:dyDescent="0.2">
      <c r="A39" s="10" t="s">
        <v>243</v>
      </c>
    </row>
    <row r="40" spans="1:1" ht="27" x14ac:dyDescent="0.2">
      <c r="A40" s="9" t="s">
        <v>245</v>
      </c>
    </row>
    <row r="41" spans="1:1" ht="40" x14ac:dyDescent="0.2">
      <c r="A41" s="10" t="s">
        <v>249</v>
      </c>
    </row>
    <row r="42" spans="1:1" ht="53" x14ac:dyDescent="0.2">
      <c r="A42" s="9" t="s">
        <v>253</v>
      </c>
    </row>
    <row r="43" spans="1:1" ht="40" x14ac:dyDescent="0.2">
      <c r="A43" s="10" t="s">
        <v>257</v>
      </c>
    </row>
    <row r="44" spans="1:1" ht="27" x14ac:dyDescent="0.2">
      <c r="A44" s="9" t="s">
        <v>146</v>
      </c>
    </row>
    <row r="45" spans="1:1" ht="40" x14ac:dyDescent="0.2">
      <c r="A45" s="10" t="s">
        <v>260</v>
      </c>
    </row>
    <row r="46" spans="1:1" ht="40" x14ac:dyDescent="0.2">
      <c r="A46" s="9" t="s">
        <v>262</v>
      </c>
    </row>
    <row r="47" spans="1:1" x14ac:dyDescent="0.2">
      <c r="A47" s="10" t="s">
        <v>265</v>
      </c>
    </row>
    <row r="48" spans="1:1" ht="53" x14ac:dyDescent="0.2">
      <c r="A48" s="9" t="s">
        <v>267</v>
      </c>
    </row>
    <row r="49" spans="1:1" ht="27" x14ac:dyDescent="0.2">
      <c r="A49" s="10" t="s">
        <v>271</v>
      </c>
    </row>
    <row r="50" spans="1:1" ht="40" x14ac:dyDescent="0.2">
      <c r="A50" s="9" t="s">
        <v>591</v>
      </c>
    </row>
    <row r="51" spans="1:1" x14ac:dyDescent="0.2">
      <c r="A51" s="10" t="s">
        <v>265</v>
      </c>
    </row>
    <row r="52" spans="1:1" ht="27" x14ac:dyDescent="0.2">
      <c r="A52" s="9" t="s">
        <v>277</v>
      </c>
    </row>
    <row r="53" spans="1:1" ht="27" x14ac:dyDescent="0.2">
      <c r="A53" s="10" t="s">
        <v>277</v>
      </c>
    </row>
    <row r="54" spans="1:1" ht="53" x14ac:dyDescent="0.2">
      <c r="A54" s="9" t="s">
        <v>280</v>
      </c>
    </row>
    <row r="55" spans="1:1" ht="27" x14ac:dyDescent="0.2">
      <c r="A55" s="10" t="s">
        <v>283</v>
      </c>
    </row>
    <row r="56" spans="1:1" ht="40" x14ac:dyDescent="0.2">
      <c r="A56" s="9" t="s">
        <v>287</v>
      </c>
    </row>
    <row r="57" spans="1:1" ht="27" x14ac:dyDescent="0.2">
      <c r="A57" s="10" t="s">
        <v>290</v>
      </c>
    </row>
    <row r="58" spans="1:1" ht="40" x14ac:dyDescent="0.2">
      <c r="A58" s="9" t="s">
        <v>293</v>
      </c>
    </row>
    <row r="59" spans="1:1" ht="66" x14ac:dyDescent="0.2">
      <c r="A59" s="10" t="s">
        <v>133</v>
      </c>
    </row>
    <row r="60" spans="1:1" ht="53" x14ac:dyDescent="0.2">
      <c r="A60" s="9" t="s">
        <v>294</v>
      </c>
    </row>
    <row r="61" spans="1:1" ht="27" x14ac:dyDescent="0.2">
      <c r="A61" s="10" t="s">
        <v>85</v>
      </c>
    </row>
    <row r="62" spans="1:1" ht="40" x14ac:dyDescent="0.2">
      <c r="A62" s="9" t="s">
        <v>303</v>
      </c>
    </row>
    <row r="63" spans="1:1" ht="53" x14ac:dyDescent="0.2">
      <c r="A63" s="10" t="s">
        <v>306</v>
      </c>
    </row>
    <row r="64" spans="1:1" ht="53" x14ac:dyDescent="0.2">
      <c r="A64" s="9" t="s">
        <v>307</v>
      </c>
    </row>
    <row r="65" spans="1:1" x14ac:dyDescent="0.2">
      <c r="A65" s="10" t="s">
        <v>308</v>
      </c>
    </row>
    <row r="66" spans="1:1" ht="79" x14ac:dyDescent="0.2">
      <c r="A66" s="9" t="s">
        <v>123</v>
      </c>
    </row>
    <row r="67" spans="1:1" ht="27" x14ac:dyDescent="0.2">
      <c r="A67" s="10" t="s">
        <v>313</v>
      </c>
    </row>
    <row r="68" spans="1:1" ht="66" x14ac:dyDescent="0.2">
      <c r="A68" s="9" t="s">
        <v>133</v>
      </c>
    </row>
    <row r="69" spans="1:1" x14ac:dyDescent="0.2">
      <c r="A69" s="10" t="s">
        <v>72</v>
      </c>
    </row>
    <row r="70" spans="1:1" ht="40" x14ac:dyDescent="0.2">
      <c r="A70" s="9" t="s">
        <v>314</v>
      </c>
    </row>
    <row r="71" spans="1:1" ht="40" x14ac:dyDescent="0.2">
      <c r="A71" s="10" t="s">
        <v>320</v>
      </c>
    </row>
    <row r="72" spans="1:1" ht="53" x14ac:dyDescent="0.2">
      <c r="A72" s="9" t="s">
        <v>107</v>
      </c>
    </row>
    <row r="73" spans="1:1" ht="79" x14ac:dyDescent="0.2">
      <c r="A73" s="10" t="s">
        <v>322</v>
      </c>
    </row>
    <row r="74" spans="1:1" ht="40" x14ac:dyDescent="0.2">
      <c r="A74" s="9" t="s">
        <v>326</v>
      </c>
    </row>
    <row r="75" spans="1:1" ht="79" x14ac:dyDescent="0.2">
      <c r="A75" s="10" t="s">
        <v>322</v>
      </c>
    </row>
    <row r="76" spans="1:1" ht="53" x14ac:dyDescent="0.2">
      <c r="A76" s="9" t="s">
        <v>328</v>
      </c>
    </row>
    <row r="77" spans="1:1" ht="53" x14ac:dyDescent="0.2">
      <c r="A77" s="10" t="s">
        <v>330</v>
      </c>
    </row>
    <row r="78" spans="1:1" x14ac:dyDescent="0.2">
      <c r="A78" s="9" t="s">
        <v>72</v>
      </c>
    </row>
    <row r="79" spans="1:1" ht="53" x14ac:dyDescent="0.2">
      <c r="A79" s="10" t="s">
        <v>335</v>
      </c>
    </row>
    <row r="80" spans="1:1" x14ac:dyDescent="0.2">
      <c r="A80" s="9" t="s">
        <v>72</v>
      </c>
    </row>
    <row r="81" spans="1:1" ht="40" x14ac:dyDescent="0.2">
      <c r="A81" s="10" t="s">
        <v>342</v>
      </c>
    </row>
    <row r="82" spans="1:1" ht="53" x14ac:dyDescent="0.2">
      <c r="A82" s="9" t="s">
        <v>175</v>
      </c>
    </row>
    <row r="83" spans="1:1" ht="40" x14ac:dyDescent="0.2">
      <c r="A83" s="10" t="s">
        <v>216</v>
      </c>
    </row>
    <row r="84" spans="1:1" ht="40" x14ac:dyDescent="0.2">
      <c r="A84" s="9" t="s">
        <v>347</v>
      </c>
    </row>
    <row r="85" spans="1:1" x14ac:dyDescent="0.2">
      <c r="A85" s="10">
        <v>0</v>
      </c>
    </row>
    <row r="86" spans="1:1" ht="27" x14ac:dyDescent="0.2">
      <c r="A86" s="9" t="s">
        <v>350</v>
      </c>
    </row>
    <row r="87" spans="1:1" ht="40" x14ac:dyDescent="0.2">
      <c r="A87" s="10" t="s">
        <v>352</v>
      </c>
    </row>
    <row r="88" spans="1:1" ht="27" x14ac:dyDescent="0.2">
      <c r="A88" s="9" t="s">
        <v>360</v>
      </c>
    </row>
    <row r="89" spans="1:1" ht="40" x14ac:dyDescent="0.2">
      <c r="A89" s="10" t="s">
        <v>342</v>
      </c>
    </row>
    <row r="90" spans="1:1" ht="53" x14ac:dyDescent="0.2">
      <c r="A90" s="9" t="s">
        <v>365</v>
      </c>
    </row>
    <row r="91" spans="1:1" x14ac:dyDescent="0.2">
      <c r="A91" s="10" t="s">
        <v>366</v>
      </c>
    </row>
    <row r="92" spans="1:1" ht="40" x14ac:dyDescent="0.2">
      <c r="A92" s="9" t="s">
        <v>369</v>
      </c>
    </row>
    <row r="93" spans="1:1" ht="27" x14ac:dyDescent="0.2">
      <c r="A93" s="10" t="s">
        <v>371</v>
      </c>
    </row>
    <row r="94" spans="1:1" ht="53" x14ac:dyDescent="0.2">
      <c r="A94" s="9" t="s">
        <v>374</v>
      </c>
    </row>
    <row r="95" spans="1:1" ht="53" x14ac:dyDescent="0.2">
      <c r="A95" s="10" t="s">
        <v>378</v>
      </c>
    </row>
    <row r="96" spans="1:1" ht="40" x14ac:dyDescent="0.2">
      <c r="A96" s="9" t="s">
        <v>380</v>
      </c>
    </row>
    <row r="97" spans="1:1" ht="40" x14ac:dyDescent="0.2">
      <c r="A97" s="10" t="s">
        <v>383</v>
      </c>
    </row>
    <row r="98" spans="1:1" x14ac:dyDescent="0.2">
      <c r="A98" s="9" t="s">
        <v>308</v>
      </c>
    </row>
    <row r="99" spans="1:1" ht="53" x14ac:dyDescent="0.2">
      <c r="A99" s="10" t="s">
        <v>388</v>
      </c>
    </row>
    <row r="100" spans="1:1" ht="53" x14ac:dyDescent="0.2">
      <c r="A100" s="9" t="s">
        <v>392</v>
      </c>
    </row>
    <row r="101" spans="1:1" ht="40" x14ac:dyDescent="0.2">
      <c r="A101" s="10" t="s">
        <v>396</v>
      </c>
    </row>
    <row r="102" spans="1:1" ht="40" x14ac:dyDescent="0.2">
      <c r="A102" s="9" t="s">
        <v>352</v>
      </c>
    </row>
    <row r="103" spans="1:1" x14ac:dyDescent="0.2">
      <c r="A103" s="10" t="s">
        <v>400</v>
      </c>
    </row>
    <row r="104" spans="1:1" ht="40" x14ac:dyDescent="0.2">
      <c r="A104" s="9" t="s">
        <v>156</v>
      </c>
    </row>
    <row r="105" spans="1:1" ht="40" x14ac:dyDescent="0.2">
      <c r="A105" s="10" t="s">
        <v>406</v>
      </c>
    </row>
    <row r="106" spans="1:1" ht="40" x14ac:dyDescent="0.2">
      <c r="A106" s="9" t="s">
        <v>408</v>
      </c>
    </row>
    <row r="107" spans="1:1" ht="27" x14ac:dyDescent="0.2">
      <c r="A107" s="10" t="s">
        <v>410</v>
      </c>
    </row>
    <row r="108" spans="1:1" ht="27" x14ac:dyDescent="0.2">
      <c r="A108" s="9" t="s">
        <v>85</v>
      </c>
    </row>
    <row r="109" spans="1:1" ht="27" x14ac:dyDescent="0.2">
      <c r="A109" s="10" t="s">
        <v>188</v>
      </c>
    </row>
    <row r="110" spans="1:1" ht="53" x14ac:dyDescent="0.2">
      <c r="A110" s="9" t="s">
        <v>417</v>
      </c>
    </row>
    <row r="111" spans="1:1" ht="27" x14ac:dyDescent="0.2">
      <c r="A111" s="10" t="s">
        <v>421</v>
      </c>
    </row>
    <row r="112" spans="1:1" ht="27" x14ac:dyDescent="0.2">
      <c r="A112" s="9" t="s">
        <v>422</v>
      </c>
    </row>
    <row r="113" spans="1:1" ht="27" x14ac:dyDescent="0.2">
      <c r="A113" s="10" t="s">
        <v>422</v>
      </c>
    </row>
    <row r="114" spans="1:1" ht="27" x14ac:dyDescent="0.2">
      <c r="A114" s="9" t="s">
        <v>423</v>
      </c>
    </row>
    <row r="115" spans="1:1" ht="27" x14ac:dyDescent="0.2">
      <c r="A115" s="10" t="s">
        <v>424</v>
      </c>
    </row>
    <row r="116" spans="1:1" ht="27" x14ac:dyDescent="0.2">
      <c r="A116" s="9" t="s">
        <v>425</v>
      </c>
    </row>
    <row r="117" spans="1:1" x14ac:dyDescent="0.2">
      <c r="A117" s="10" t="s">
        <v>265</v>
      </c>
    </row>
    <row r="118" spans="1:1" ht="27" x14ac:dyDescent="0.2">
      <c r="A118" s="9" t="s">
        <v>283</v>
      </c>
    </row>
    <row r="119" spans="1:1" ht="53" x14ac:dyDescent="0.2">
      <c r="A119" s="10" t="s">
        <v>267</v>
      </c>
    </row>
    <row r="120" spans="1:1" ht="40" x14ac:dyDescent="0.2">
      <c r="A120" s="9" t="s">
        <v>233</v>
      </c>
    </row>
    <row r="121" spans="1:1" x14ac:dyDescent="0.2">
      <c r="A121" s="10" t="s">
        <v>366</v>
      </c>
    </row>
    <row r="122" spans="1:1" ht="27" x14ac:dyDescent="0.2">
      <c r="A122" s="9" t="s">
        <v>430</v>
      </c>
    </row>
    <row r="123" spans="1:1" ht="40" x14ac:dyDescent="0.2">
      <c r="A123" s="10" t="s">
        <v>320</v>
      </c>
    </row>
    <row r="124" spans="1:1" x14ac:dyDescent="0.2">
      <c r="A124" s="9" t="s">
        <v>434</v>
      </c>
    </row>
    <row r="125" spans="1:1" ht="40" x14ac:dyDescent="0.2">
      <c r="A125" s="10" t="s">
        <v>156</v>
      </c>
    </row>
    <row r="126" spans="1:1" ht="53" x14ac:dyDescent="0.2">
      <c r="A126" s="9" t="s">
        <v>437</v>
      </c>
    </row>
    <row r="127" spans="1:1" ht="66" x14ac:dyDescent="0.2">
      <c r="A127" s="10" t="s">
        <v>438</v>
      </c>
    </row>
    <row r="128" spans="1:1" ht="53" x14ac:dyDescent="0.2">
      <c r="A128" s="9" t="s">
        <v>440</v>
      </c>
    </row>
    <row r="129" spans="1:1" x14ac:dyDescent="0.2">
      <c r="A129" s="10" t="s">
        <v>187</v>
      </c>
    </row>
    <row r="130" spans="1:1" ht="66" x14ac:dyDescent="0.2">
      <c r="A130" s="9" t="s">
        <v>444</v>
      </c>
    </row>
    <row r="131" spans="1:1" x14ac:dyDescent="0.2">
      <c r="A131" s="10" t="s">
        <v>308</v>
      </c>
    </row>
    <row r="132" spans="1:1" ht="27" x14ac:dyDescent="0.2">
      <c r="A132" s="9" t="s">
        <v>449</v>
      </c>
    </row>
    <row r="133" spans="1:1" ht="27" x14ac:dyDescent="0.2">
      <c r="A133" s="10" t="s">
        <v>423</v>
      </c>
    </row>
    <row r="134" spans="1:1" ht="27" x14ac:dyDescent="0.2">
      <c r="A134" s="9" t="s">
        <v>451</v>
      </c>
    </row>
    <row r="135" spans="1:1" ht="53" x14ac:dyDescent="0.2">
      <c r="A135" s="10" t="s">
        <v>452</v>
      </c>
    </row>
    <row r="136" spans="1:1" ht="66" x14ac:dyDescent="0.2">
      <c r="A136" s="9" t="s">
        <v>455</v>
      </c>
    </row>
    <row r="137" spans="1:1" ht="53" x14ac:dyDescent="0.2">
      <c r="A137" s="10" t="s">
        <v>374</v>
      </c>
    </row>
    <row r="138" spans="1:1" x14ac:dyDescent="0.2">
      <c r="A138" s="9" t="s">
        <v>165</v>
      </c>
    </row>
    <row r="139" spans="1:1" ht="27" x14ac:dyDescent="0.2">
      <c r="A139" s="10" t="s">
        <v>423</v>
      </c>
    </row>
    <row r="140" spans="1:1" ht="40" x14ac:dyDescent="0.2">
      <c r="A140" s="9" t="s">
        <v>383</v>
      </c>
    </row>
    <row r="141" spans="1:1" ht="27" x14ac:dyDescent="0.2">
      <c r="A141" s="10" t="s">
        <v>425</v>
      </c>
    </row>
    <row r="142" spans="1:1" x14ac:dyDescent="0.2">
      <c r="A142" s="9" t="s">
        <v>599</v>
      </c>
    </row>
    <row r="143" spans="1:1" x14ac:dyDescent="0.2">
      <c r="A143" s="10" t="s">
        <v>72</v>
      </c>
    </row>
    <row r="144" spans="1:1" x14ac:dyDescent="0.2">
      <c r="A144" s="9" t="s">
        <v>590</v>
      </c>
    </row>
    <row r="145" spans="1:1" ht="40" x14ac:dyDescent="0.2">
      <c r="A145" s="10" t="s">
        <v>471</v>
      </c>
    </row>
    <row r="146" spans="1:1" x14ac:dyDescent="0.2">
      <c r="A146" s="9" t="s">
        <v>474</v>
      </c>
    </row>
    <row r="147" spans="1:1" ht="40" x14ac:dyDescent="0.2">
      <c r="A147" s="10" t="s">
        <v>480</v>
      </c>
    </row>
    <row r="148" spans="1:1" ht="53" x14ac:dyDescent="0.2">
      <c r="A148" s="9" t="s">
        <v>392</v>
      </c>
    </row>
    <row r="149" spans="1:1" x14ac:dyDescent="0.2">
      <c r="A149" s="10" t="s">
        <v>265</v>
      </c>
    </row>
    <row r="150" spans="1:1" ht="27" x14ac:dyDescent="0.2">
      <c r="A150" s="9" t="s">
        <v>85</v>
      </c>
    </row>
    <row r="151" spans="1:1" x14ac:dyDescent="0.2">
      <c r="A151" s="10" t="s">
        <v>483</v>
      </c>
    </row>
    <row r="152" spans="1:1" ht="27" x14ac:dyDescent="0.2">
      <c r="A152" s="11" t="s">
        <v>85</v>
      </c>
    </row>
  </sheetData>
  <pageMargins left="0.70000000000000007" right="0.70000000000000007" top="0.75" bottom="0.75" header="0.30000000000000004" footer="0.3000000000000000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AD18-6676-437D-B1D1-08C893EA4E33}">
  <dimension ref="A3:E7"/>
  <sheetViews>
    <sheetView topLeftCell="C10" workbookViewId="0">
      <selection activeCell="B24" sqref="B24"/>
    </sheetView>
  </sheetViews>
  <sheetFormatPr baseColWidth="10" defaultColWidth="11.83203125" defaultRowHeight="15" x14ac:dyDescent="0.2"/>
  <cols>
    <col min="1" max="1" width="11.5" bestFit="1" customWidth="1"/>
    <col min="2" max="2" width="41.5" customWidth="1"/>
    <col min="3" max="3" width="11.83203125" customWidth="1"/>
    <col min="4" max="4" width="26.1640625" customWidth="1"/>
    <col min="5" max="5" width="29" customWidth="1"/>
  </cols>
  <sheetData>
    <row r="3" spans="1:5" s="41" customFormat="1" ht="80" x14ac:dyDescent="0.2">
      <c r="A3" s="63" t="s">
        <v>31</v>
      </c>
      <c r="B3" s="64" t="s">
        <v>32</v>
      </c>
      <c r="E3" s="48" t="str">
        <f>Feuil1!AA1</f>
        <v>Q22 : Les recommandations officielles (HAS, CNGOF, Ordre des sages-femmes) influencent-elles votre décision d’orienter vers l’ostéopathie ?</v>
      </c>
    </row>
    <row r="4" spans="1:5" x14ac:dyDescent="0.2">
      <c r="A4" s="3" t="s">
        <v>11</v>
      </c>
      <c r="B4" s="2">
        <v>59</v>
      </c>
      <c r="D4" t="str">
        <f>A4&amp;" "&amp;"(n="&amp;B4&amp;")"</f>
        <v>Non (n=59)</v>
      </c>
      <c r="E4" s="25">
        <f>B4/B$7</f>
        <v>0.39333333333333331</v>
      </c>
    </row>
    <row r="5" spans="1:5" x14ac:dyDescent="0.2">
      <c r="A5" s="4" t="s">
        <v>12</v>
      </c>
      <c r="B5" s="5">
        <v>59</v>
      </c>
      <c r="D5" t="str">
        <f>A5&amp;" "&amp;"(n="&amp;B5&amp;")"</f>
        <v>Oui (n=59)</v>
      </c>
      <c r="E5" s="25">
        <f>B5/B$7</f>
        <v>0.39333333333333331</v>
      </c>
    </row>
    <row r="6" spans="1:5" x14ac:dyDescent="0.2">
      <c r="A6" s="4" t="s">
        <v>13</v>
      </c>
      <c r="B6" s="5">
        <v>32</v>
      </c>
      <c r="D6" t="str">
        <f>A6&amp;" "&amp;"(n="&amp;B6&amp;")"</f>
        <v>Sans avis (n=32)</v>
      </c>
      <c r="E6" s="25">
        <f>B6/B$7</f>
        <v>0.21333333333333335</v>
      </c>
    </row>
    <row r="7" spans="1:5" x14ac:dyDescent="0.2">
      <c r="A7" s="6" t="s">
        <v>6</v>
      </c>
      <c r="B7" s="7">
        <v>150</v>
      </c>
      <c r="E7" s="25">
        <f>SUM(E4:E6)</f>
        <v>1</v>
      </c>
    </row>
  </sheetData>
  <pageMargins left="0.70000000000000007" right="0.70000000000000007" top="0.75" bottom="0.75" header="0.30000000000000004" footer="0.30000000000000004"/>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E83A-9A25-4B97-A013-9CAE39C54F97}">
  <dimension ref="A3:E7"/>
  <sheetViews>
    <sheetView topLeftCell="A10" workbookViewId="0">
      <selection activeCell="A16" sqref="A16"/>
    </sheetView>
  </sheetViews>
  <sheetFormatPr baseColWidth="10" defaultColWidth="11.83203125" defaultRowHeight="15" x14ac:dyDescent="0.2"/>
  <cols>
    <col min="1" max="1" width="19.1640625" bestFit="1" customWidth="1"/>
    <col min="2" max="2" width="50.5" customWidth="1"/>
    <col min="3" max="3" width="11.83203125" customWidth="1"/>
    <col min="4" max="4" width="19.83203125" customWidth="1"/>
    <col min="5" max="5" width="36.83203125" customWidth="1"/>
  </cols>
  <sheetData>
    <row r="3" spans="1:5" s="41" customFormat="1" ht="48" x14ac:dyDescent="0.2">
      <c r="A3" s="63" t="s">
        <v>0</v>
      </c>
      <c r="B3" s="64" t="s">
        <v>33</v>
      </c>
      <c r="E3" s="48" t="str">
        <f>Feuil1!AB1</f>
        <v>Q23 : Pensez-vous que la collaboration entre sages-femmes et ostéopathes pourrait améliorer la prise en charge des femmes enceintes ?</v>
      </c>
    </row>
    <row r="4" spans="1:5" x14ac:dyDescent="0.2">
      <c r="A4" s="3" t="s">
        <v>11</v>
      </c>
      <c r="B4" s="2">
        <v>5</v>
      </c>
      <c r="D4" t="str">
        <f>A4&amp;" "&amp;"(n="&amp;B4&amp;")"</f>
        <v>Non (n=5)</v>
      </c>
      <c r="E4" s="25">
        <f>B4/B$7</f>
        <v>3.3112582781456956E-2</v>
      </c>
    </row>
    <row r="5" spans="1:5" x14ac:dyDescent="0.2">
      <c r="A5" s="4" t="s">
        <v>12</v>
      </c>
      <c r="B5" s="5">
        <v>139</v>
      </c>
      <c r="D5" t="str">
        <f>A5&amp;" "&amp;"(n="&amp;B5&amp;")"</f>
        <v>Oui (n=139)</v>
      </c>
      <c r="E5" s="25">
        <f>B5/B$7</f>
        <v>0.92052980132450335</v>
      </c>
    </row>
    <row r="6" spans="1:5" x14ac:dyDescent="0.2">
      <c r="A6" s="4" t="s">
        <v>13</v>
      </c>
      <c r="B6" s="5">
        <v>7</v>
      </c>
      <c r="D6" t="str">
        <f>A6&amp;" "&amp;"(n="&amp;B6&amp;")"</f>
        <v>Sans avis (n=7)</v>
      </c>
      <c r="E6" s="25">
        <f>B6/B$7</f>
        <v>4.6357615894039736E-2</v>
      </c>
    </row>
    <row r="7" spans="1:5" x14ac:dyDescent="0.2">
      <c r="A7" s="6" t="s">
        <v>6</v>
      </c>
      <c r="B7" s="7">
        <v>151</v>
      </c>
      <c r="E7" s="25">
        <f>SUM(E4:E6)</f>
        <v>1</v>
      </c>
    </row>
  </sheetData>
  <pageMargins left="0.70000000000000007" right="0.70000000000000007" top="0.75" bottom="0.75" header="0.30000000000000004" footer="0.30000000000000004"/>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60A75-2400-4098-B7C9-35F7B14DD4B9}">
  <dimension ref="A3:E7"/>
  <sheetViews>
    <sheetView topLeftCell="A10" workbookViewId="0">
      <selection activeCell="H11" sqref="H11"/>
    </sheetView>
  </sheetViews>
  <sheetFormatPr baseColWidth="10" defaultColWidth="11.83203125" defaultRowHeight="15" x14ac:dyDescent="0.2"/>
  <cols>
    <col min="1" max="1" width="19.1640625" bestFit="1" customWidth="1"/>
    <col min="2" max="2" width="48.5" customWidth="1"/>
    <col min="3" max="3" width="11.83203125" customWidth="1"/>
    <col min="4" max="4" width="19.5" customWidth="1"/>
    <col min="5" max="5" width="28.33203125" customWidth="1"/>
  </cols>
  <sheetData>
    <row r="3" spans="1:5" s="41" customFormat="1" ht="64" x14ac:dyDescent="0.2">
      <c r="A3" s="63" t="s">
        <v>0</v>
      </c>
      <c r="B3" s="64" t="s">
        <v>34</v>
      </c>
      <c r="E3" s="48" t="str">
        <f>Feuil1!AC1</f>
        <v>Q24 : Seriez-vous favorable à l’intégration d’ostéopathes dans les équipes pluridisciplinaires périnatales ?</v>
      </c>
    </row>
    <row r="4" spans="1:5" x14ac:dyDescent="0.2">
      <c r="A4" s="3" t="s">
        <v>11</v>
      </c>
      <c r="B4" s="2">
        <v>7</v>
      </c>
      <c r="D4" t="str">
        <f>A4&amp;" "&amp;"(n="&amp;B4&amp;")"</f>
        <v>Non (n=7)</v>
      </c>
      <c r="E4" s="25">
        <f>B4/B$7</f>
        <v>4.6357615894039736E-2</v>
      </c>
    </row>
    <row r="5" spans="1:5" x14ac:dyDescent="0.2">
      <c r="A5" s="4" t="s">
        <v>12</v>
      </c>
      <c r="B5" s="5">
        <v>136</v>
      </c>
      <c r="D5" t="str">
        <f>A5&amp;" "&amp;"(n="&amp;B5&amp;")"</f>
        <v>Oui (n=136)</v>
      </c>
      <c r="E5" s="25">
        <f>B5/B$7</f>
        <v>0.90066225165562919</v>
      </c>
    </row>
    <row r="6" spans="1:5" x14ac:dyDescent="0.2">
      <c r="A6" s="4" t="s">
        <v>13</v>
      </c>
      <c r="B6" s="5">
        <v>8</v>
      </c>
      <c r="D6" t="str">
        <f>A6&amp;" "&amp;"(n="&amp;B6&amp;")"</f>
        <v>Sans avis (n=8)</v>
      </c>
      <c r="E6" s="25">
        <f>B6/B$7</f>
        <v>5.2980132450331126E-2</v>
      </c>
    </row>
    <row r="7" spans="1:5" x14ac:dyDescent="0.2">
      <c r="A7" s="6" t="s">
        <v>6</v>
      </c>
      <c r="B7" s="7">
        <v>151</v>
      </c>
      <c r="E7" s="25">
        <f>SUM(E4:E6)</f>
        <v>1</v>
      </c>
    </row>
  </sheetData>
  <pageMargins left="0.70000000000000007" right="0.70000000000000007" top="0.75" bottom="0.75" header="0.30000000000000004" footer="0.30000000000000004"/>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ED19-AE9D-4CDD-B357-C1824AF52327}">
  <dimension ref="A3:B12"/>
  <sheetViews>
    <sheetView topLeftCell="A11" workbookViewId="0">
      <selection activeCell="A14" sqref="A14"/>
    </sheetView>
  </sheetViews>
  <sheetFormatPr baseColWidth="10" defaultColWidth="10.83203125" defaultRowHeight="15" x14ac:dyDescent="0.2"/>
  <cols>
    <col min="1" max="1" width="88.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57</v>
      </c>
      <c r="B4" t="s">
        <v>485</v>
      </c>
    </row>
    <row r="5" spans="1:2" x14ac:dyDescent="0.2">
      <c r="A5" t="s">
        <v>616</v>
      </c>
      <c r="B5" s="26">
        <v>0.23318385650224216</v>
      </c>
    </row>
    <row r="6" spans="1:2" x14ac:dyDescent="0.2">
      <c r="A6" t="s">
        <v>614</v>
      </c>
      <c r="B6" s="26">
        <v>3.5874439461883408E-2</v>
      </c>
    </row>
    <row r="7" spans="1:2" x14ac:dyDescent="0.2">
      <c r="A7" t="s">
        <v>611</v>
      </c>
      <c r="B7" s="26">
        <v>0.15246636771300448</v>
      </c>
    </row>
    <row r="8" spans="1:2" x14ac:dyDescent="0.2">
      <c r="A8" t="s">
        <v>612</v>
      </c>
      <c r="B8" s="26">
        <v>8.744394618834081E-2</v>
      </c>
    </row>
    <row r="9" spans="1:2" x14ac:dyDescent="0.2">
      <c r="A9" t="s">
        <v>615</v>
      </c>
      <c r="B9" s="26">
        <v>0.17713004484304934</v>
      </c>
    </row>
    <row r="10" spans="1:2" x14ac:dyDescent="0.2">
      <c r="A10" t="s">
        <v>610</v>
      </c>
      <c r="B10" s="26">
        <v>0.23318385650224216</v>
      </c>
    </row>
    <row r="11" spans="1:2" x14ac:dyDescent="0.2">
      <c r="A11" t="s">
        <v>613</v>
      </c>
      <c r="B11" s="26">
        <v>8.0717488789237665E-2</v>
      </c>
    </row>
    <row r="12" spans="1:2" x14ac:dyDescent="0.2">
      <c r="A12" t="s">
        <v>6</v>
      </c>
      <c r="B12" s="26">
        <v>1</v>
      </c>
    </row>
  </sheetData>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8839-FFCB-4919-987C-0FB7BB7E0776}">
  <dimension ref="A1:G152"/>
  <sheetViews>
    <sheetView zoomScale="90" zoomScaleNormal="90" workbookViewId="0">
      <selection activeCell="G1" sqref="G1"/>
    </sheetView>
  </sheetViews>
  <sheetFormatPr baseColWidth="10" defaultColWidth="11.83203125" defaultRowHeight="15" x14ac:dyDescent="0.2"/>
  <cols>
    <col min="1" max="1" width="74.83203125" customWidth="1"/>
    <col min="2" max="2" width="11.83203125" customWidth="1"/>
    <col min="3" max="3" width="51.5" customWidth="1"/>
    <col min="4" max="4" width="15.5" customWidth="1"/>
    <col min="5" max="5" width="11.83203125" customWidth="1"/>
    <col min="6" max="6" width="34.83203125" customWidth="1"/>
  </cols>
  <sheetData>
    <row r="1" spans="1:7" s="31" customFormat="1" ht="39" x14ac:dyDescent="0.2">
      <c r="A1" s="34" t="s">
        <v>57</v>
      </c>
      <c r="C1" s="34" t="s">
        <v>57</v>
      </c>
      <c r="D1" s="41" t="s">
        <v>485</v>
      </c>
      <c r="F1" s="34" t="str">
        <f>$A1</f>
        <v>Quels éléments pourraient favoriser une meilleure collaboration entre sages-femmes et ostéopathes ?</v>
      </c>
      <c r="G1" s="41" t="s">
        <v>575</v>
      </c>
    </row>
    <row r="2" spans="1:7" s="31" customFormat="1" ht="32" x14ac:dyDescent="0.2">
      <c r="A2" s="35" t="s">
        <v>73</v>
      </c>
      <c r="C2" s="31" t="s">
        <v>162</v>
      </c>
      <c r="D2" s="31">
        <f>COUNTIF($A$2:$A$152,"*Preuves de résultats positifs des traitements ostéopathiques*")</f>
        <v>104</v>
      </c>
      <c r="F2" s="31" t="str">
        <f t="shared" ref="F2" si="0">C2&amp;" "&amp;"(n="&amp;D2&amp;")"</f>
        <v>Preuves de résultats positifs des traitements ostéopathiques (n=104)</v>
      </c>
      <c r="G2" s="32">
        <f t="shared" ref="G2:G8" si="1">D2/SUM(D$2:D$8)</f>
        <v>0.23318385650224216</v>
      </c>
    </row>
    <row r="3" spans="1:7" s="31" customFormat="1" ht="26" x14ac:dyDescent="0.2">
      <c r="A3" s="36" t="s">
        <v>80</v>
      </c>
      <c r="C3" s="31" t="s">
        <v>401</v>
      </c>
      <c r="D3" s="31">
        <f>COUNTIF($A$2:$A$152,"*Demande des patientes*")</f>
        <v>68</v>
      </c>
      <c r="F3" s="31" t="str">
        <f t="shared" ref="F3:F8" si="2">C3&amp;" "&amp;"(n="&amp;D3&amp;")"</f>
        <v>Demande des patientes (n=68)</v>
      </c>
      <c r="G3" s="32">
        <f t="shared" si="1"/>
        <v>0.15246636771300448</v>
      </c>
    </row>
    <row r="4" spans="1:7" s="31" customFormat="1" ht="32" x14ac:dyDescent="0.2">
      <c r="A4" s="35" t="s">
        <v>86</v>
      </c>
      <c r="C4" s="31" t="s">
        <v>521</v>
      </c>
      <c r="D4" s="31">
        <f>COUNTIF($A$2:$A$152,"*Formations sémiologiques supplémentaires des ostéopathes*")</f>
        <v>39</v>
      </c>
      <c r="F4" s="31" t="str">
        <f t="shared" si="2"/>
        <v>Formations sémiologiques supplémentaires des ostéopathes (n=39)</v>
      </c>
      <c r="G4" s="32">
        <f t="shared" si="1"/>
        <v>8.744394618834081E-2</v>
      </c>
    </row>
    <row r="5" spans="1:7" s="31" customFormat="1" ht="32" x14ac:dyDescent="0.2">
      <c r="A5" s="36" t="s">
        <v>93</v>
      </c>
      <c r="C5" s="31" t="s">
        <v>361</v>
      </c>
      <c r="D5" s="31">
        <f>COUNTIF($A$2:$A$152,"*Recommandations par d’autres professionnels de santé*")</f>
        <v>36</v>
      </c>
      <c r="F5" s="31" t="str">
        <f t="shared" si="2"/>
        <v>Recommandations par d’autres professionnels de santé (n=36)</v>
      </c>
      <c r="G5" s="32">
        <f t="shared" si="1"/>
        <v>8.0717488789237665E-2</v>
      </c>
    </row>
    <row r="6" spans="1:7" s="31" customFormat="1" ht="52" x14ac:dyDescent="0.2">
      <c r="A6" s="35" t="s">
        <v>98</v>
      </c>
      <c r="C6" s="31" t="s">
        <v>296</v>
      </c>
      <c r="D6" s="31">
        <f>COUNTIF($A$2:$A$152,"*Absence ou inefficacité d’autres solutions thérapeutiques*")</f>
        <v>16</v>
      </c>
      <c r="F6" s="31" t="str">
        <f t="shared" si="2"/>
        <v>Absence ou inefficacité d’autres solutions thérapeutiques (n=16)</v>
      </c>
      <c r="G6" s="32">
        <f t="shared" si="1"/>
        <v>3.5874439461883408E-2</v>
      </c>
    </row>
    <row r="7" spans="1:7" s="31" customFormat="1" ht="32" x14ac:dyDescent="0.2">
      <c r="A7" s="36" t="s">
        <v>162</v>
      </c>
      <c r="C7" s="31" t="s">
        <v>181</v>
      </c>
      <c r="D7" s="31">
        <f>COUNTIF($A$2:$A$152,"*Mise en place de protocoles règlementés*")</f>
        <v>79</v>
      </c>
      <c r="F7" s="31" t="str">
        <f t="shared" si="2"/>
        <v>Mise en place de protocoles règlementés (n=79)</v>
      </c>
      <c r="G7" s="32">
        <f t="shared" si="1"/>
        <v>0.17713004484304934</v>
      </c>
    </row>
    <row r="8" spans="1:7" s="31" customFormat="1" ht="39" x14ac:dyDescent="0.2">
      <c r="A8" s="35" t="s">
        <v>108</v>
      </c>
      <c r="C8" s="31" t="s">
        <v>522</v>
      </c>
      <c r="D8" s="31">
        <f>COUNTIF($A$2:$A$152,"*Encadrement institutionnel et recommandations officielles*")</f>
        <v>104</v>
      </c>
      <c r="F8" s="31" t="str">
        <f t="shared" si="2"/>
        <v xml:space="preserve"> Encadrement institutionnel et recommandations officielles (n=104)</v>
      </c>
      <c r="G8" s="32">
        <f t="shared" si="1"/>
        <v>0.23318385650224216</v>
      </c>
    </row>
    <row r="9" spans="1:7" s="31" customFormat="1" ht="26" x14ac:dyDescent="0.2">
      <c r="A9" s="36" t="s">
        <v>113</v>
      </c>
    </row>
    <row r="10" spans="1:7" s="31" customFormat="1" ht="39" x14ac:dyDescent="0.2">
      <c r="A10" s="35" t="s">
        <v>118</v>
      </c>
      <c r="D10" s="31">
        <f>SUM(D2:D8)</f>
        <v>446</v>
      </c>
      <c r="G10" s="32">
        <f>SUM(G2:G8)</f>
        <v>1</v>
      </c>
    </row>
    <row r="11" spans="1:7" s="31" customFormat="1" ht="26" x14ac:dyDescent="0.2">
      <c r="A11" s="36" t="s">
        <v>124</v>
      </c>
      <c r="G11" s="32"/>
    </row>
    <row r="12" spans="1:7" s="31" customFormat="1" ht="26" x14ac:dyDescent="0.2">
      <c r="A12" s="35" t="s">
        <v>129</v>
      </c>
    </row>
    <row r="13" spans="1:7" s="31" customFormat="1" ht="39" x14ac:dyDescent="0.2">
      <c r="A13" s="36" t="s">
        <v>134</v>
      </c>
    </row>
    <row r="14" spans="1:7" s="31" customFormat="1" ht="39" x14ac:dyDescent="0.2">
      <c r="A14" s="35" t="s">
        <v>139</v>
      </c>
    </row>
    <row r="15" spans="1:7" s="31" customFormat="1" ht="26" x14ac:dyDescent="0.2">
      <c r="A15" s="36" t="s">
        <v>93</v>
      </c>
    </row>
    <row r="16" spans="1:7" s="31" customFormat="1" x14ac:dyDescent="0.2">
      <c r="A16" s="35" t="s">
        <v>151</v>
      </c>
    </row>
    <row r="17" spans="1:1" s="31" customFormat="1" ht="26" x14ac:dyDescent="0.2">
      <c r="A17" s="36" t="s">
        <v>157</v>
      </c>
    </row>
    <row r="18" spans="1:1" s="31" customFormat="1" x14ac:dyDescent="0.2">
      <c r="A18" s="35" t="s">
        <v>162</v>
      </c>
    </row>
    <row r="19" spans="1:1" s="31" customFormat="1" ht="26" x14ac:dyDescent="0.2">
      <c r="A19" s="36" t="s">
        <v>157</v>
      </c>
    </row>
    <row r="20" spans="1:1" s="31" customFormat="1" x14ac:dyDescent="0.2">
      <c r="A20" s="35" t="s">
        <v>169</v>
      </c>
    </row>
    <row r="21" spans="1:1" s="31" customFormat="1" x14ac:dyDescent="0.2">
      <c r="A21" s="36" t="s">
        <v>169</v>
      </c>
    </row>
    <row r="22" spans="1:1" s="31" customFormat="1" ht="26" x14ac:dyDescent="0.2">
      <c r="A22" s="35" t="s">
        <v>176</v>
      </c>
    </row>
    <row r="23" spans="1:1" s="31" customFormat="1" x14ac:dyDescent="0.2">
      <c r="A23" s="36" t="s">
        <v>181</v>
      </c>
    </row>
    <row r="24" spans="1:1" s="31" customFormat="1" ht="26" x14ac:dyDescent="0.2">
      <c r="A24" s="35" t="s">
        <v>157</v>
      </c>
    </row>
    <row r="25" spans="1:1" s="31" customFormat="1" x14ac:dyDescent="0.2">
      <c r="A25" s="36" t="s">
        <v>181</v>
      </c>
    </row>
    <row r="26" spans="1:1" s="31" customFormat="1" ht="26" x14ac:dyDescent="0.2">
      <c r="A26" s="35" t="s">
        <v>93</v>
      </c>
    </row>
    <row r="27" spans="1:1" s="31" customFormat="1" ht="26" x14ac:dyDescent="0.2">
      <c r="A27" s="36" t="s">
        <v>86</v>
      </c>
    </row>
    <row r="28" spans="1:1" s="31" customFormat="1" ht="26" x14ac:dyDescent="0.2">
      <c r="A28" s="35" t="s">
        <v>202</v>
      </c>
    </row>
    <row r="29" spans="1:1" s="31" customFormat="1" ht="26" x14ac:dyDescent="0.2">
      <c r="A29" s="36" t="s">
        <v>93</v>
      </c>
    </row>
    <row r="30" spans="1:1" s="31" customFormat="1" ht="26" x14ac:dyDescent="0.2">
      <c r="A30" s="35" t="s">
        <v>86</v>
      </c>
    </row>
    <row r="31" spans="1:1" s="31" customFormat="1" x14ac:dyDescent="0.2">
      <c r="A31" s="36" t="s">
        <v>213</v>
      </c>
    </row>
    <row r="32" spans="1:1" s="31" customFormat="1" ht="39" x14ac:dyDescent="0.2">
      <c r="A32" s="35" t="s">
        <v>217</v>
      </c>
    </row>
    <row r="33" spans="1:1" s="31" customFormat="1" x14ac:dyDescent="0.2">
      <c r="A33" s="36" t="s">
        <v>151</v>
      </c>
    </row>
    <row r="34" spans="1:1" s="31" customFormat="1" ht="39" x14ac:dyDescent="0.2">
      <c r="A34" s="35" t="s">
        <v>222</v>
      </c>
    </row>
    <row r="35" spans="1:1" s="31" customFormat="1" ht="26" x14ac:dyDescent="0.2">
      <c r="A35" s="36" t="s">
        <v>229</v>
      </c>
    </row>
    <row r="36" spans="1:1" s="31" customFormat="1" ht="26" x14ac:dyDescent="0.2">
      <c r="A36" s="35" t="s">
        <v>73</v>
      </c>
    </row>
    <row r="37" spans="1:1" s="31" customFormat="1" x14ac:dyDescent="0.2">
      <c r="A37" s="36" t="s">
        <v>162</v>
      </c>
    </row>
    <row r="38" spans="1:1" s="31" customFormat="1" ht="26" x14ac:dyDescent="0.2">
      <c r="A38" s="35" t="s">
        <v>239</v>
      </c>
    </row>
    <row r="39" spans="1:1" s="31" customFormat="1" ht="39" x14ac:dyDescent="0.2">
      <c r="A39" s="36" t="s">
        <v>222</v>
      </c>
    </row>
    <row r="40" spans="1:1" s="31" customFormat="1" ht="26" x14ac:dyDescent="0.2">
      <c r="A40" s="35" t="s">
        <v>246</v>
      </c>
    </row>
    <row r="41" spans="1:1" s="31" customFormat="1" ht="39" x14ac:dyDescent="0.2">
      <c r="A41" s="36" t="s">
        <v>250</v>
      </c>
    </row>
    <row r="42" spans="1:1" s="31" customFormat="1" ht="52" x14ac:dyDescent="0.2">
      <c r="A42" s="35" t="s">
        <v>254</v>
      </c>
    </row>
    <row r="43" spans="1:1" s="31" customFormat="1" ht="39" x14ac:dyDescent="0.2">
      <c r="A43" s="36" t="s">
        <v>139</v>
      </c>
    </row>
    <row r="44" spans="1:1" s="31" customFormat="1" x14ac:dyDescent="0.2">
      <c r="A44" s="35" t="s">
        <v>169</v>
      </c>
    </row>
    <row r="45" spans="1:1" s="31" customFormat="1" ht="26" x14ac:dyDescent="0.2">
      <c r="A45" s="36" t="s">
        <v>157</v>
      </c>
    </row>
    <row r="46" spans="1:1" s="31" customFormat="1" x14ac:dyDescent="0.2">
      <c r="A46" s="35" t="s">
        <v>263</v>
      </c>
    </row>
    <row r="47" spans="1:1" s="31" customFormat="1" x14ac:dyDescent="0.2">
      <c r="A47" s="36" t="s">
        <v>181</v>
      </c>
    </row>
    <row r="48" spans="1:1" s="31" customFormat="1" ht="26" x14ac:dyDescent="0.2">
      <c r="A48" s="35" t="s">
        <v>268</v>
      </c>
    </row>
    <row r="49" spans="1:1" s="31" customFormat="1" ht="26" x14ac:dyDescent="0.2">
      <c r="A49" s="36" t="s">
        <v>272</v>
      </c>
    </row>
    <row r="50" spans="1:1" s="31" customFormat="1" ht="26" x14ac:dyDescent="0.2">
      <c r="A50" s="35" t="s">
        <v>73</v>
      </c>
    </row>
    <row r="51" spans="1:1" s="31" customFormat="1" ht="26" x14ac:dyDescent="0.2">
      <c r="A51" s="36" t="s">
        <v>113</v>
      </c>
    </row>
    <row r="52" spans="1:1" s="31" customFormat="1" ht="26" x14ac:dyDescent="0.2">
      <c r="A52" s="35" t="s">
        <v>113</v>
      </c>
    </row>
    <row r="53" spans="1:1" s="31" customFormat="1" ht="26" x14ac:dyDescent="0.2">
      <c r="A53" s="36" t="s">
        <v>86</v>
      </c>
    </row>
    <row r="54" spans="1:1" s="31" customFormat="1" ht="26" x14ac:dyDescent="0.2">
      <c r="A54" s="35" t="s">
        <v>281</v>
      </c>
    </row>
    <row r="55" spans="1:1" s="31" customFormat="1" ht="39" x14ac:dyDescent="0.2">
      <c r="A55" s="36" t="s">
        <v>284</v>
      </c>
    </row>
    <row r="56" spans="1:1" s="31" customFormat="1" ht="26" x14ac:dyDescent="0.2">
      <c r="A56" s="35" t="s">
        <v>86</v>
      </c>
    </row>
    <row r="57" spans="1:1" s="31" customFormat="1" ht="26" x14ac:dyDescent="0.2">
      <c r="A57" s="36" t="s">
        <v>291</v>
      </c>
    </row>
    <row r="58" spans="1:1" s="31" customFormat="1" ht="26" x14ac:dyDescent="0.2">
      <c r="A58" s="35" t="s">
        <v>157</v>
      </c>
    </row>
    <row r="59" spans="1:1" s="31" customFormat="1" ht="52" x14ac:dyDescent="0.2">
      <c r="A59" s="36" t="s">
        <v>254</v>
      </c>
    </row>
    <row r="60" spans="1:1" s="31" customFormat="1" ht="26" x14ac:dyDescent="0.2">
      <c r="A60" s="35" t="s">
        <v>113</v>
      </c>
    </row>
    <row r="61" spans="1:1" s="31" customFormat="1" x14ac:dyDescent="0.2">
      <c r="A61" s="36" t="s">
        <v>296</v>
      </c>
    </row>
    <row r="62" spans="1:1" s="31" customFormat="1" ht="26" x14ac:dyDescent="0.2">
      <c r="A62" s="35" t="s">
        <v>73</v>
      </c>
    </row>
    <row r="63" spans="1:1" s="31" customFormat="1" ht="39" x14ac:dyDescent="0.2">
      <c r="A63" s="36" t="s">
        <v>108</v>
      </c>
    </row>
    <row r="64" spans="1:1" s="31" customFormat="1" ht="39" x14ac:dyDescent="0.2">
      <c r="A64" s="35" t="s">
        <v>222</v>
      </c>
    </row>
    <row r="65" spans="1:1" s="31" customFormat="1" ht="39" x14ac:dyDescent="0.2">
      <c r="A65" s="36" t="s">
        <v>309</v>
      </c>
    </row>
    <row r="66" spans="1:1" s="31" customFormat="1" ht="52" x14ac:dyDescent="0.2">
      <c r="A66" s="35" t="s">
        <v>254</v>
      </c>
    </row>
    <row r="67" spans="1:1" s="31" customFormat="1" ht="26" x14ac:dyDescent="0.2">
      <c r="A67" s="36" t="s">
        <v>157</v>
      </c>
    </row>
    <row r="68" spans="1:1" s="31" customFormat="1" ht="52" x14ac:dyDescent="0.2">
      <c r="A68" s="35" t="s">
        <v>254</v>
      </c>
    </row>
    <row r="69" spans="1:1" s="31" customFormat="1" ht="26" x14ac:dyDescent="0.2">
      <c r="A69" s="36" t="s">
        <v>157</v>
      </c>
    </row>
    <row r="70" spans="1:1" s="31" customFormat="1" ht="39" x14ac:dyDescent="0.2">
      <c r="A70" s="35" t="s">
        <v>315</v>
      </c>
    </row>
    <row r="71" spans="1:1" s="31" customFormat="1" ht="26" x14ac:dyDescent="0.2">
      <c r="A71" s="36" t="s">
        <v>239</v>
      </c>
    </row>
    <row r="72" spans="1:1" s="31" customFormat="1" ht="39" x14ac:dyDescent="0.2">
      <c r="A72" s="35" t="s">
        <v>309</v>
      </c>
    </row>
    <row r="73" spans="1:1" s="31" customFormat="1" ht="26" x14ac:dyDescent="0.2">
      <c r="A73" s="36" t="s">
        <v>323</v>
      </c>
    </row>
    <row r="74" spans="1:1" s="31" customFormat="1" x14ac:dyDescent="0.2">
      <c r="A74" s="35" t="s">
        <v>263</v>
      </c>
    </row>
    <row r="75" spans="1:1" s="31" customFormat="1" ht="39" x14ac:dyDescent="0.2">
      <c r="A75" s="36" t="s">
        <v>327</v>
      </c>
    </row>
    <row r="76" spans="1:1" s="31" customFormat="1" ht="39" x14ac:dyDescent="0.2">
      <c r="A76" s="35" t="s">
        <v>309</v>
      </c>
    </row>
    <row r="77" spans="1:1" s="31" customFormat="1" ht="39" x14ac:dyDescent="0.2">
      <c r="A77" s="36" t="s">
        <v>250</v>
      </c>
    </row>
    <row r="78" spans="1:1" s="31" customFormat="1" ht="26" x14ac:dyDescent="0.2">
      <c r="A78" s="35" t="s">
        <v>332</v>
      </c>
    </row>
    <row r="79" spans="1:1" s="31" customFormat="1" x14ac:dyDescent="0.2">
      <c r="A79" s="36" t="s">
        <v>169</v>
      </c>
    </row>
    <row r="80" spans="1:1" s="31" customFormat="1" ht="39" x14ac:dyDescent="0.2">
      <c r="A80" s="35" t="s">
        <v>309</v>
      </c>
    </row>
    <row r="81" spans="1:1" s="31" customFormat="1" ht="26" x14ac:dyDescent="0.2">
      <c r="A81" s="36" t="s">
        <v>73</v>
      </c>
    </row>
    <row r="82" spans="1:1" s="31" customFormat="1" ht="26" x14ac:dyDescent="0.2">
      <c r="A82" s="35" t="s">
        <v>113</v>
      </c>
    </row>
    <row r="83" spans="1:1" s="31" customFormat="1" ht="26" x14ac:dyDescent="0.2">
      <c r="A83" s="36" t="s">
        <v>332</v>
      </c>
    </row>
    <row r="84" spans="1:1" s="31" customFormat="1" ht="39" x14ac:dyDescent="0.2">
      <c r="A84" s="35" t="s">
        <v>348</v>
      </c>
    </row>
    <row r="85" spans="1:1" s="31" customFormat="1" x14ac:dyDescent="0.2">
      <c r="A85" s="36" t="s">
        <v>162</v>
      </c>
    </row>
    <row r="86" spans="1:1" s="31" customFormat="1" ht="26" x14ac:dyDescent="0.2">
      <c r="A86" s="35" t="s">
        <v>113</v>
      </c>
    </row>
    <row r="87" spans="1:1" s="31" customFormat="1" ht="26" x14ac:dyDescent="0.2">
      <c r="A87" s="36" t="s">
        <v>93</v>
      </c>
    </row>
    <row r="88" spans="1:1" s="31" customFormat="1" x14ac:dyDescent="0.2">
      <c r="A88" s="35" t="s">
        <v>361</v>
      </c>
    </row>
    <row r="89" spans="1:1" s="31" customFormat="1" ht="26" x14ac:dyDescent="0.2">
      <c r="A89" s="36" t="s">
        <v>363</v>
      </c>
    </row>
    <row r="90" spans="1:1" s="31" customFormat="1" ht="26" x14ac:dyDescent="0.2">
      <c r="A90" s="35" t="s">
        <v>86</v>
      </c>
    </row>
    <row r="91" spans="1:1" s="31" customFormat="1" ht="26" x14ac:dyDescent="0.2">
      <c r="A91" s="36" t="s">
        <v>86</v>
      </c>
    </row>
    <row r="92" spans="1:1" s="31" customFormat="1" ht="26" x14ac:dyDescent="0.2">
      <c r="A92" s="35" t="s">
        <v>86</v>
      </c>
    </row>
    <row r="93" spans="1:1" s="31" customFormat="1" ht="26" x14ac:dyDescent="0.2">
      <c r="A93" s="36" t="s">
        <v>157</v>
      </c>
    </row>
    <row r="94" spans="1:1" s="31" customFormat="1" ht="26" x14ac:dyDescent="0.2">
      <c r="A94" s="35" t="s">
        <v>157</v>
      </c>
    </row>
    <row r="95" spans="1:1" s="31" customFormat="1" x14ac:dyDescent="0.2">
      <c r="A95" s="36" t="s">
        <v>379</v>
      </c>
    </row>
    <row r="96" spans="1:1" s="31" customFormat="1" ht="39" x14ac:dyDescent="0.2">
      <c r="A96" s="35" t="s">
        <v>381</v>
      </c>
    </row>
    <row r="97" spans="1:1" s="31" customFormat="1" x14ac:dyDescent="0.2">
      <c r="A97" s="36" t="s">
        <v>384</v>
      </c>
    </row>
    <row r="98" spans="1:1" s="31" customFormat="1" x14ac:dyDescent="0.2">
      <c r="A98" s="35" t="s">
        <v>162</v>
      </c>
    </row>
    <row r="99" spans="1:1" s="31" customFormat="1" ht="39" x14ac:dyDescent="0.2">
      <c r="A99" s="36" t="s">
        <v>389</v>
      </c>
    </row>
    <row r="100" spans="1:1" s="31" customFormat="1" x14ac:dyDescent="0.2">
      <c r="A100" s="35" t="s">
        <v>393</v>
      </c>
    </row>
    <row r="101" spans="1:1" s="31" customFormat="1" ht="39" x14ac:dyDescent="0.2">
      <c r="A101" s="36" t="s">
        <v>250</v>
      </c>
    </row>
    <row r="102" spans="1:1" s="31" customFormat="1" x14ac:dyDescent="0.2">
      <c r="A102" s="35" t="s">
        <v>263</v>
      </c>
    </row>
    <row r="103" spans="1:1" s="31" customFormat="1" x14ac:dyDescent="0.2">
      <c r="A103" s="36" t="s">
        <v>401</v>
      </c>
    </row>
    <row r="104" spans="1:1" s="31" customFormat="1" ht="26" x14ac:dyDescent="0.2">
      <c r="A104" s="35" t="s">
        <v>93</v>
      </c>
    </row>
    <row r="105" spans="1:1" s="31" customFormat="1" ht="26" x14ac:dyDescent="0.2">
      <c r="A105" s="36" t="s">
        <v>86</v>
      </c>
    </row>
    <row r="106" spans="1:1" s="31" customFormat="1" ht="52" x14ac:dyDescent="0.2">
      <c r="A106" s="35" t="s">
        <v>118</v>
      </c>
    </row>
    <row r="107" spans="1:1" s="31" customFormat="1" x14ac:dyDescent="0.2">
      <c r="A107" s="36" t="s">
        <v>263</v>
      </c>
    </row>
    <row r="108" spans="1:1" s="31" customFormat="1" x14ac:dyDescent="0.2">
      <c r="A108" s="35" t="s">
        <v>151</v>
      </c>
    </row>
    <row r="109" spans="1:1" s="31" customFormat="1" ht="26" x14ac:dyDescent="0.2">
      <c r="A109" s="36" t="s">
        <v>246</v>
      </c>
    </row>
    <row r="110" spans="1:1" s="31" customFormat="1" ht="39" x14ac:dyDescent="0.2">
      <c r="A110" s="35" t="s">
        <v>418</v>
      </c>
    </row>
    <row r="111" spans="1:1" s="31" customFormat="1" x14ac:dyDescent="0.2">
      <c r="A111" s="36" t="s">
        <v>263</v>
      </c>
    </row>
    <row r="112" spans="1:1" s="31" customFormat="1" x14ac:dyDescent="0.2">
      <c r="A112" s="35" t="s">
        <v>263</v>
      </c>
    </row>
    <row r="113" spans="1:1" s="31" customFormat="1" ht="26" x14ac:dyDescent="0.2">
      <c r="A113" s="36" t="s">
        <v>73</v>
      </c>
    </row>
    <row r="114" spans="1:1" s="31" customFormat="1" x14ac:dyDescent="0.2">
      <c r="A114" s="35" t="s">
        <v>162</v>
      </c>
    </row>
    <row r="115" spans="1:1" s="31" customFormat="1" ht="26" x14ac:dyDescent="0.2">
      <c r="A115" s="36" t="s">
        <v>113</v>
      </c>
    </row>
    <row r="116" spans="1:1" s="31" customFormat="1" x14ac:dyDescent="0.2">
      <c r="A116" s="35" t="s">
        <v>151</v>
      </c>
    </row>
    <row r="117" spans="1:1" s="31" customFormat="1" x14ac:dyDescent="0.2">
      <c r="A117" s="36" t="s">
        <v>401</v>
      </c>
    </row>
    <row r="118" spans="1:1" s="31" customFormat="1" ht="26" x14ac:dyDescent="0.2">
      <c r="A118" s="35" t="s">
        <v>426</v>
      </c>
    </row>
    <row r="119" spans="1:1" s="31" customFormat="1" ht="26" x14ac:dyDescent="0.2">
      <c r="A119" s="36" t="s">
        <v>93</v>
      </c>
    </row>
    <row r="120" spans="1:1" s="31" customFormat="1" ht="39" x14ac:dyDescent="0.2">
      <c r="A120" s="35" t="s">
        <v>250</v>
      </c>
    </row>
    <row r="121" spans="1:1" s="31" customFormat="1" ht="26" x14ac:dyDescent="0.2">
      <c r="A121" s="36" t="s">
        <v>166</v>
      </c>
    </row>
    <row r="122" spans="1:1" s="31" customFormat="1" ht="26" x14ac:dyDescent="0.2">
      <c r="A122" s="35" t="s">
        <v>86</v>
      </c>
    </row>
    <row r="123" spans="1:1" s="31" customFormat="1" ht="26" x14ac:dyDescent="0.2">
      <c r="A123" s="36" t="s">
        <v>157</v>
      </c>
    </row>
    <row r="124" spans="1:1" s="31" customFormat="1" ht="39" x14ac:dyDescent="0.2">
      <c r="A124" s="35" t="s">
        <v>250</v>
      </c>
    </row>
    <row r="125" spans="1:1" s="31" customFormat="1" ht="26" x14ac:dyDescent="0.2">
      <c r="A125" s="36" t="s">
        <v>436</v>
      </c>
    </row>
    <row r="126" spans="1:1" s="31" customFormat="1" ht="39" x14ac:dyDescent="0.2">
      <c r="A126" s="35" t="s">
        <v>250</v>
      </c>
    </row>
    <row r="127" spans="1:1" s="31" customFormat="1" ht="26" x14ac:dyDescent="0.2">
      <c r="A127" s="36" t="s">
        <v>157</v>
      </c>
    </row>
    <row r="128" spans="1:1" s="31" customFormat="1" ht="52" x14ac:dyDescent="0.2">
      <c r="A128" s="35" t="s">
        <v>98</v>
      </c>
    </row>
    <row r="129" spans="1:1" s="31" customFormat="1" ht="26" x14ac:dyDescent="0.2">
      <c r="A129" s="36" t="s">
        <v>73</v>
      </c>
    </row>
    <row r="130" spans="1:1" s="31" customFormat="1" ht="26" x14ac:dyDescent="0.2">
      <c r="A130" s="35" t="s">
        <v>157</v>
      </c>
    </row>
    <row r="131" spans="1:1" s="31" customFormat="1" ht="26" x14ac:dyDescent="0.2">
      <c r="A131" s="36" t="s">
        <v>272</v>
      </c>
    </row>
    <row r="132" spans="1:1" s="31" customFormat="1" ht="26" x14ac:dyDescent="0.2">
      <c r="A132" s="35" t="s">
        <v>450</v>
      </c>
    </row>
    <row r="133" spans="1:1" s="31" customFormat="1" x14ac:dyDescent="0.2">
      <c r="A133" s="36" t="s">
        <v>162</v>
      </c>
    </row>
    <row r="134" spans="1:1" s="31" customFormat="1" ht="26" x14ac:dyDescent="0.2">
      <c r="A134" s="35" t="s">
        <v>281</v>
      </c>
    </row>
    <row r="135" spans="1:1" s="31" customFormat="1" ht="52" x14ac:dyDescent="0.2">
      <c r="A135" s="36" t="s">
        <v>453</v>
      </c>
    </row>
    <row r="136" spans="1:1" s="31" customFormat="1" ht="26" x14ac:dyDescent="0.2">
      <c r="A136" s="35" t="s">
        <v>73</v>
      </c>
    </row>
    <row r="137" spans="1:1" s="31" customFormat="1" ht="39" x14ac:dyDescent="0.2">
      <c r="A137" s="36" t="s">
        <v>389</v>
      </c>
    </row>
    <row r="138" spans="1:1" s="31" customFormat="1" x14ac:dyDescent="0.2">
      <c r="A138" s="35" t="s">
        <v>181</v>
      </c>
    </row>
    <row r="139" spans="1:1" s="31" customFormat="1" x14ac:dyDescent="0.2">
      <c r="A139" s="36" t="s">
        <v>162</v>
      </c>
    </row>
    <row r="140" spans="1:1" s="31" customFormat="1" ht="39" x14ac:dyDescent="0.2">
      <c r="A140" s="35" t="s">
        <v>460</v>
      </c>
    </row>
    <row r="141" spans="1:1" s="31" customFormat="1" ht="26" x14ac:dyDescent="0.2">
      <c r="A141" s="36" t="s">
        <v>93</v>
      </c>
    </row>
    <row r="142" spans="1:1" s="31" customFormat="1" ht="26" x14ac:dyDescent="0.2">
      <c r="A142" s="35" t="s">
        <v>332</v>
      </c>
    </row>
    <row r="143" spans="1:1" s="31" customFormat="1" x14ac:dyDescent="0.2">
      <c r="A143" s="36" t="s">
        <v>401</v>
      </c>
    </row>
    <row r="144" spans="1:1" s="31" customFormat="1" ht="26" x14ac:dyDescent="0.2">
      <c r="A144" s="35" t="s">
        <v>166</v>
      </c>
    </row>
    <row r="145" spans="1:1" s="31" customFormat="1" ht="26" x14ac:dyDescent="0.2">
      <c r="A145" s="36" t="s">
        <v>272</v>
      </c>
    </row>
    <row r="146" spans="1:1" s="31" customFormat="1" ht="26" x14ac:dyDescent="0.2">
      <c r="A146" s="35" t="s">
        <v>229</v>
      </c>
    </row>
    <row r="147" spans="1:1" s="31" customFormat="1" ht="26" x14ac:dyDescent="0.2">
      <c r="A147" s="36" t="s">
        <v>426</v>
      </c>
    </row>
    <row r="148" spans="1:1" s="31" customFormat="1" ht="26" x14ac:dyDescent="0.2">
      <c r="A148" s="35" t="s">
        <v>113</v>
      </c>
    </row>
    <row r="149" spans="1:1" s="31" customFormat="1" ht="26" x14ac:dyDescent="0.2">
      <c r="A149" s="36" t="s">
        <v>86</v>
      </c>
    </row>
    <row r="150" spans="1:1" s="31" customFormat="1" ht="26" x14ac:dyDescent="0.2">
      <c r="A150" s="35" t="s">
        <v>86</v>
      </c>
    </row>
    <row r="151" spans="1:1" s="31" customFormat="1" ht="26" x14ac:dyDescent="0.2">
      <c r="A151" s="36" t="s">
        <v>86</v>
      </c>
    </row>
    <row r="152" spans="1:1" s="31" customFormat="1" ht="26" x14ac:dyDescent="0.2">
      <c r="A152" s="37" t="s">
        <v>484</v>
      </c>
    </row>
  </sheetData>
  <pageMargins left="0.70000000000000007" right="0.70000000000000007" top="0.75" bottom="0.75" header="0.30000000000000004" footer="0.3000000000000000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B3A6-7AEF-44D0-B4A3-BD0E5F334D2E}">
  <dimension ref="A3:B16"/>
  <sheetViews>
    <sheetView topLeftCell="F3" workbookViewId="0">
      <selection activeCell="A11" sqref="A11"/>
    </sheetView>
  </sheetViews>
  <sheetFormatPr baseColWidth="10" defaultColWidth="10.83203125" defaultRowHeight="15" x14ac:dyDescent="0.2"/>
  <cols>
    <col min="1" max="1" width="54.1640625"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48" x14ac:dyDescent="0.2">
      <c r="A4" s="53" t="s">
        <v>58</v>
      </c>
      <c r="B4" t="s">
        <v>485</v>
      </c>
    </row>
    <row r="5" spans="1:2" x14ac:dyDescent="0.2">
      <c r="A5" t="s">
        <v>642</v>
      </c>
      <c r="B5" s="26">
        <v>4.7619047619047616E-2</v>
      </c>
    </row>
    <row r="6" spans="1:2" x14ac:dyDescent="0.2">
      <c r="A6" t="s">
        <v>643</v>
      </c>
      <c r="B6" s="26">
        <v>4.7619047619047616E-2</v>
      </c>
    </row>
    <row r="7" spans="1:2" x14ac:dyDescent="0.2">
      <c r="A7" t="s">
        <v>644</v>
      </c>
      <c r="B7" s="26">
        <v>4.7619047619047616E-2</v>
      </c>
    </row>
    <row r="8" spans="1:2" x14ac:dyDescent="0.2">
      <c r="A8" t="s">
        <v>645</v>
      </c>
      <c r="B8" s="26">
        <v>0.14285714285714285</v>
      </c>
    </row>
    <row r="9" spans="1:2" x14ac:dyDescent="0.2">
      <c r="A9" t="s">
        <v>646</v>
      </c>
      <c r="B9" s="26">
        <v>0.19047619047619047</v>
      </c>
    </row>
    <row r="10" spans="1:2" x14ac:dyDescent="0.2">
      <c r="A10" t="s">
        <v>647</v>
      </c>
      <c r="B10" s="26">
        <v>0.19047619047619047</v>
      </c>
    </row>
    <row r="11" spans="1:2" x14ac:dyDescent="0.2">
      <c r="A11" t="s">
        <v>648</v>
      </c>
      <c r="B11" s="26">
        <v>4.7619047619047616E-2</v>
      </c>
    </row>
    <row r="12" spans="1:2" x14ac:dyDescent="0.2">
      <c r="A12" t="s">
        <v>649</v>
      </c>
      <c r="B12" s="26">
        <v>4.7619047619047616E-2</v>
      </c>
    </row>
    <row r="13" spans="1:2" x14ac:dyDescent="0.2">
      <c r="A13" t="s">
        <v>650</v>
      </c>
      <c r="B13" s="26">
        <v>9.5238095238095233E-2</v>
      </c>
    </row>
    <row r="14" spans="1:2" x14ac:dyDescent="0.2">
      <c r="A14" t="s">
        <v>651</v>
      </c>
      <c r="B14" s="26">
        <v>9.5238095238095233E-2</v>
      </c>
    </row>
    <row r="15" spans="1:2" x14ac:dyDescent="0.2">
      <c r="A15" t="s">
        <v>652</v>
      </c>
      <c r="B15" s="26">
        <v>4.7619047619047616E-2</v>
      </c>
    </row>
    <row r="16" spans="1:2" x14ac:dyDescent="0.2">
      <c r="A16" t="s">
        <v>6</v>
      </c>
      <c r="B16" s="26">
        <v>1</v>
      </c>
    </row>
  </sheetData>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F7E8-C044-4B90-9239-AE1F5E739177}">
  <dimension ref="A1:G152"/>
  <sheetViews>
    <sheetView topLeftCell="B1" zoomScale="90" zoomScaleNormal="90" workbookViewId="0">
      <selection activeCell="F1" sqref="F1"/>
    </sheetView>
  </sheetViews>
  <sheetFormatPr baseColWidth="10" defaultColWidth="11.83203125" defaultRowHeight="15" x14ac:dyDescent="0.2"/>
  <cols>
    <col min="1" max="1" width="34.5" bestFit="1" customWidth="1"/>
    <col min="2" max="2" width="11.83203125" customWidth="1"/>
    <col min="3" max="3" width="52.83203125" customWidth="1"/>
    <col min="4" max="4" width="11.83203125" customWidth="1"/>
    <col min="6" max="6" width="43" customWidth="1"/>
  </cols>
  <sheetData>
    <row r="1" spans="1:7" s="31" customFormat="1" ht="52" x14ac:dyDescent="0.2">
      <c r="A1" s="34" t="s">
        <v>58</v>
      </c>
      <c r="C1" s="34" t="s">
        <v>58</v>
      </c>
      <c r="D1" s="41" t="s">
        <v>485</v>
      </c>
      <c r="F1" s="34" t="str">
        <f>$A1</f>
        <v>Souhaitez-vous partager une expérience ou un avis personnel concernant l’ostéopathie dans la prise en charge du syndrome de Lacomme ?</v>
      </c>
      <c r="G1" s="41" t="s">
        <v>575</v>
      </c>
    </row>
    <row r="2" spans="1:7" s="31" customFormat="1" ht="42" x14ac:dyDescent="0.2">
      <c r="A2" s="38" t="s">
        <v>75</v>
      </c>
      <c r="C2" s="31" t="s">
        <v>513</v>
      </c>
      <c r="D2" s="31">
        <f>COUNTIF($A$2:$A$152,"*Banalisation du syndrome de Lacomme*")</f>
        <v>1</v>
      </c>
      <c r="F2" s="31" t="str">
        <f t="shared" ref="F2" si="0">C2&amp;" "&amp;"(n="&amp;D2&amp;")"</f>
        <v>Banalisation du syndrome de Lacomme (n=1)</v>
      </c>
      <c r="G2" s="32">
        <f>D2/SUM(D$2:D$12)</f>
        <v>4.7619047619047616E-2</v>
      </c>
    </row>
    <row r="3" spans="1:7" s="31" customFormat="1" ht="32" x14ac:dyDescent="0.2">
      <c r="A3" s="39">
        <v>0</v>
      </c>
      <c r="C3" s="31" t="s">
        <v>512</v>
      </c>
      <c r="D3" s="31">
        <f>COUNTIF($A$2:$A$152,"*Absence de connaissances sur le syndrome de Lacomme*")</f>
        <v>1</v>
      </c>
      <c r="F3" s="31" t="str">
        <f t="shared" ref="F3:F12" si="1">C3&amp;" "&amp;"(n="&amp;D3&amp;")"</f>
        <v>Absence de connaissances sur le syndrome de Lacomme (n=1)</v>
      </c>
      <c r="G3" s="32">
        <f t="shared" ref="G3:G12" si="2">D3/SUM(D$2:D$12)</f>
        <v>4.7619047619047616E-2</v>
      </c>
    </row>
    <row r="4" spans="1:7" s="31" customFormat="1" ht="16" x14ac:dyDescent="0.2">
      <c r="A4" s="38">
        <v>0</v>
      </c>
      <c r="C4" s="31" t="s">
        <v>503</v>
      </c>
      <c r="D4" s="31">
        <f>COUNTIF($A$2:$A$152,"*Efficacité perçue*")</f>
        <v>4</v>
      </c>
      <c r="F4" s="31" t="str">
        <f t="shared" si="1"/>
        <v>Efficacité perçue (n=4)</v>
      </c>
      <c r="G4" s="32">
        <f t="shared" si="2"/>
        <v>0.19047619047619047</v>
      </c>
    </row>
    <row r="5" spans="1:7" s="31" customFormat="1" ht="16" x14ac:dyDescent="0.2">
      <c r="A5" s="39">
        <v>0</v>
      </c>
      <c r="C5" s="31" t="s">
        <v>517</v>
      </c>
      <c r="D5" s="31">
        <f>COUNTIF($A$2:$A$152,"*Soulagement temporaire*")</f>
        <v>2</v>
      </c>
      <c r="F5" s="31" t="str">
        <f t="shared" si="1"/>
        <v>Soulagement temporaire (n=2)</v>
      </c>
      <c r="G5" s="32">
        <f t="shared" si="2"/>
        <v>9.5238095238095233E-2</v>
      </c>
    </row>
    <row r="6" spans="1:7" s="31" customFormat="1" ht="16" x14ac:dyDescent="0.2">
      <c r="A6" s="38">
        <v>0</v>
      </c>
      <c r="C6" s="31" t="s">
        <v>515</v>
      </c>
      <c r="D6" s="31">
        <f>COUNTIF($A$2:$A$152,"*Limites des pratiques ostéopathiques*")</f>
        <v>1</v>
      </c>
      <c r="F6" s="31" t="str">
        <f t="shared" si="1"/>
        <v>Limites des pratiques ostéopathiques (n=1)</v>
      </c>
      <c r="G6" s="32">
        <f t="shared" si="2"/>
        <v>4.7619047619047616E-2</v>
      </c>
    </row>
    <row r="7" spans="1:7" s="31" customFormat="1" ht="16" x14ac:dyDescent="0.2">
      <c r="A7" s="39">
        <v>0</v>
      </c>
      <c r="C7" s="31" t="s">
        <v>491</v>
      </c>
      <c r="D7" s="31">
        <f>COUNTIF($A$2:$A$152,"*Collaboration interprofessionnelle*")</f>
        <v>3</v>
      </c>
      <c r="F7" s="31" t="str">
        <f t="shared" si="1"/>
        <v>Collaboration interprofessionnelle (n=3)</v>
      </c>
      <c r="G7" s="32">
        <f t="shared" si="2"/>
        <v>0.14285714285714285</v>
      </c>
    </row>
    <row r="8" spans="1:7" s="31" customFormat="1" ht="16" x14ac:dyDescent="0.2">
      <c r="A8" s="38">
        <v>0</v>
      </c>
      <c r="C8" s="31" t="s">
        <v>518</v>
      </c>
      <c r="D8" s="31">
        <f>COUNTIF($A$2:$A$152,"*Suivi régulier préventif*")</f>
        <v>1</v>
      </c>
      <c r="F8" s="31" t="str">
        <f t="shared" si="1"/>
        <v>Suivi régulier préventif (n=1)</v>
      </c>
      <c r="G8" s="32">
        <f t="shared" si="2"/>
        <v>4.7619047619047616E-2</v>
      </c>
    </row>
    <row r="9" spans="1:7" s="31" customFormat="1" ht="16" x14ac:dyDescent="0.2">
      <c r="A9" s="39">
        <v>0</v>
      </c>
      <c r="C9" s="31" t="s">
        <v>516</v>
      </c>
      <c r="D9" s="31">
        <f>COUNTIF($A$2:$A$152,"*Recommandation institutionnelle*")</f>
        <v>2</v>
      </c>
      <c r="F9" s="31" t="str">
        <f t="shared" si="1"/>
        <v>Recommandation institutionnelle (n=2)</v>
      </c>
      <c r="G9" s="32">
        <f t="shared" si="2"/>
        <v>9.5238095238095233E-2</v>
      </c>
    </row>
    <row r="10" spans="1:7" s="31" customFormat="1" ht="16" x14ac:dyDescent="0.2">
      <c r="A10" s="38">
        <v>0</v>
      </c>
      <c r="C10" s="31" t="s">
        <v>206</v>
      </c>
      <c r="D10" s="31">
        <f>COUNTIF($A$2:$A$152,"*Favorable à l'intégration de l'ostéopathie*")</f>
        <v>4</v>
      </c>
      <c r="F10" s="31" t="str">
        <f t="shared" si="1"/>
        <v>Favorable à l'intégration de l'ostéopathie (n=4)</v>
      </c>
      <c r="G10" s="32">
        <f t="shared" si="2"/>
        <v>0.19047619047619047</v>
      </c>
    </row>
    <row r="11" spans="1:7" s="31" customFormat="1" ht="16" x14ac:dyDescent="0.2">
      <c r="A11" s="39">
        <v>0</v>
      </c>
      <c r="C11" s="31" t="s">
        <v>514</v>
      </c>
      <c r="D11" s="31">
        <f>COUNTIF($A$2:$A$152,"*Impact des avis médicaux*")</f>
        <v>1</v>
      </c>
      <c r="F11" s="31" t="str">
        <f t="shared" si="1"/>
        <v>Impact des avis médicaux (n=1)</v>
      </c>
      <c r="G11" s="32">
        <f t="shared" si="2"/>
        <v>4.7619047619047616E-2</v>
      </c>
    </row>
    <row r="12" spans="1:7" s="31" customFormat="1" ht="32" x14ac:dyDescent="0.2">
      <c r="A12" s="38">
        <v>0</v>
      </c>
      <c r="C12" s="31" t="s">
        <v>511</v>
      </c>
      <c r="D12" s="31">
        <f>COUNTIF($A$2:$A$152,"*Absence de connaissances sur la pratique ostéopathique*")</f>
        <v>1</v>
      </c>
      <c r="F12" s="31" t="str">
        <f t="shared" si="1"/>
        <v>Absence de connaissances sur la pratique ostéopathique (n=1)</v>
      </c>
      <c r="G12" s="32">
        <f t="shared" si="2"/>
        <v>4.7619047619047616E-2</v>
      </c>
    </row>
    <row r="13" spans="1:7" s="31" customFormat="1" x14ac:dyDescent="0.2">
      <c r="A13" s="39">
        <v>0</v>
      </c>
    </row>
    <row r="14" spans="1:7" s="31" customFormat="1" x14ac:dyDescent="0.2">
      <c r="A14" s="35">
        <v>0</v>
      </c>
      <c r="D14" s="31">
        <f>SUM(D2:D12)</f>
        <v>21</v>
      </c>
      <c r="G14" s="32">
        <f>SUM(G2:G12)</f>
        <v>1</v>
      </c>
    </row>
    <row r="15" spans="1:7" s="31" customFormat="1" x14ac:dyDescent="0.2">
      <c r="A15" s="39">
        <v>0</v>
      </c>
    </row>
    <row r="16" spans="1:7" s="31" customFormat="1" x14ac:dyDescent="0.2">
      <c r="A16" s="38">
        <v>0</v>
      </c>
    </row>
    <row r="17" spans="1:1" s="31" customFormat="1" x14ac:dyDescent="0.2">
      <c r="A17" s="39">
        <v>0</v>
      </c>
    </row>
    <row r="18" spans="1:1" s="31" customFormat="1" x14ac:dyDescent="0.2">
      <c r="A18" s="38">
        <v>0</v>
      </c>
    </row>
    <row r="19" spans="1:1" s="31" customFormat="1" x14ac:dyDescent="0.2">
      <c r="A19" s="39">
        <v>0</v>
      </c>
    </row>
    <row r="20" spans="1:1" s="31" customFormat="1" x14ac:dyDescent="0.2">
      <c r="A20" s="38">
        <v>0</v>
      </c>
    </row>
    <row r="21" spans="1:1" s="31" customFormat="1" x14ac:dyDescent="0.2">
      <c r="A21" s="39">
        <v>0</v>
      </c>
    </row>
    <row r="22" spans="1:1" s="31" customFormat="1" x14ac:dyDescent="0.2">
      <c r="A22" s="38">
        <v>0</v>
      </c>
    </row>
    <row r="23" spans="1:1" s="31" customFormat="1" x14ac:dyDescent="0.2">
      <c r="A23" s="39">
        <v>0</v>
      </c>
    </row>
    <row r="24" spans="1:1" s="31" customFormat="1" x14ac:dyDescent="0.2">
      <c r="A24" s="38">
        <v>0</v>
      </c>
    </row>
    <row r="25" spans="1:1" s="31" customFormat="1" x14ac:dyDescent="0.2">
      <c r="A25" s="39">
        <v>0</v>
      </c>
    </row>
    <row r="26" spans="1:1" s="31" customFormat="1" x14ac:dyDescent="0.2">
      <c r="A26" s="38">
        <v>0</v>
      </c>
    </row>
    <row r="27" spans="1:1" s="31" customFormat="1" x14ac:dyDescent="0.2">
      <c r="A27" s="36">
        <v>0</v>
      </c>
    </row>
    <row r="28" spans="1:1" s="31" customFormat="1" x14ac:dyDescent="0.2">
      <c r="A28" s="35" t="s">
        <v>519</v>
      </c>
    </row>
    <row r="29" spans="1:1" s="31" customFormat="1" x14ac:dyDescent="0.2">
      <c r="A29" s="39">
        <v>0</v>
      </c>
    </row>
    <row r="30" spans="1:1" s="31" customFormat="1" x14ac:dyDescent="0.2">
      <c r="A30" s="38">
        <v>0</v>
      </c>
    </row>
    <row r="31" spans="1:1" s="31" customFormat="1" x14ac:dyDescent="0.2">
      <c r="A31" s="39">
        <v>0</v>
      </c>
    </row>
    <row r="32" spans="1:1" s="31" customFormat="1" x14ac:dyDescent="0.2">
      <c r="A32" s="38">
        <v>0</v>
      </c>
    </row>
    <row r="33" spans="1:1" s="31" customFormat="1" x14ac:dyDescent="0.2">
      <c r="A33" s="39">
        <v>0</v>
      </c>
    </row>
    <row r="34" spans="1:1" s="31" customFormat="1" ht="28" x14ac:dyDescent="0.2">
      <c r="A34" s="38" t="s">
        <v>520</v>
      </c>
    </row>
    <row r="35" spans="1:1" s="31" customFormat="1" x14ac:dyDescent="0.2">
      <c r="A35" s="39">
        <v>0</v>
      </c>
    </row>
    <row r="36" spans="1:1" s="31" customFormat="1" x14ac:dyDescent="0.2">
      <c r="A36" s="38">
        <v>0</v>
      </c>
    </row>
    <row r="37" spans="1:1" s="31" customFormat="1" x14ac:dyDescent="0.2">
      <c r="A37" s="39">
        <v>0</v>
      </c>
    </row>
    <row r="38" spans="1:1" s="31" customFormat="1" x14ac:dyDescent="0.2">
      <c r="A38" s="38">
        <v>0</v>
      </c>
    </row>
    <row r="39" spans="1:1" s="31" customFormat="1" x14ac:dyDescent="0.2">
      <c r="A39" s="39">
        <v>0</v>
      </c>
    </row>
    <row r="40" spans="1:1" s="31" customFormat="1" x14ac:dyDescent="0.2">
      <c r="A40" s="38">
        <v>0</v>
      </c>
    </row>
    <row r="41" spans="1:1" s="31" customFormat="1" x14ac:dyDescent="0.2">
      <c r="A41" s="39">
        <v>0</v>
      </c>
    </row>
    <row r="42" spans="1:1" s="31" customFormat="1" x14ac:dyDescent="0.2">
      <c r="A42" s="38">
        <v>0</v>
      </c>
    </row>
    <row r="43" spans="1:1" s="31" customFormat="1" x14ac:dyDescent="0.2">
      <c r="A43" s="39">
        <v>0</v>
      </c>
    </row>
    <row r="44" spans="1:1" s="31" customFormat="1" x14ac:dyDescent="0.2">
      <c r="A44" s="38">
        <v>0</v>
      </c>
    </row>
    <row r="45" spans="1:1" s="31" customFormat="1" x14ac:dyDescent="0.2">
      <c r="A45" s="39">
        <v>0</v>
      </c>
    </row>
    <row r="46" spans="1:1" s="31" customFormat="1" x14ac:dyDescent="0.2">
      <c r="A46" s="38">
        <v>0</v>
      </c>
    </row>
    <row r="47" spans="1:1" s="31" customFormat="1" x14ac:dyDescent="0.2">
      <c r="A47" s="39">
        <v>0</v>
      </c>
    </row>
    <row r="48" spans="1:1" s="31" customFormat="1" x14ac:dyDescent="0.2">
      <c r="A48" s="38">
        <v>0</v>
      </c>
    </row>
    <row r="49" spans="1:1" s="31" customFormat="1" x14ac:dyDescent="0.2">
      <c r="A49" s="39">
        <v>0</v>
      </c>
    </row>
    <row r="50" spans="1:1" s="31" customFormat="1" ht="52" x14ac:dyDescent="0.2">
      <c r="A50" s="35" t="s">
        <v>548</v>
      </c>
    </row>
    <row r="51" spans="1:1" s="31" customFormat="1" x14ac:dyDescent="0.2">
      <c r="A51" s="39">
        <v>0</v>
      </c>
    </row>
    <row r="52" spans="1:1" s="31" customFormat="1" x14ac:dyDescent="0.2">
      <c r="A52" s="38">
        <v>0</v>
      </c>
    </row>
    <row r="53" spans="1:1" s="31" customFormat="1" x14ac:dyDescent="0.2">
      <c r="A53" s="39">
        <v>0</v>
      </c>
    </row>
    <row r="54" spans="1:1" s="31" customFormat="1" x14ac:dyDescent="0.2">
      <c r="A54" s="38">
        <v>0</v>
      </c>
    </row>
    <row r="55" spans="1:1" s="31" customFormat="1" x14ac:dyDescent="0.2">
      <c r="A55" s="39">
        <v>0</v>
      </c>
    </row>
    <row r="56" spans="1:1" s="31" customFormat="1" x14ac:dyDescent="0.2">
      <c r="A56" s="35">
        <v>0</v>
      </c>
    </row>
    <row r="57" spans="1:1" s="31" customFormat="1" x14ac:dyDescent="0.2">
      <c r="A57" s="39">
        <v>0</v>
      </c>
    </row>
    <row r="58" spans="1:1" s="31" customFormat="1" x14ac:dyDescent="0.2">
      <c r="A58" s="38">
        <v>0</v>
      </c>
    </row>
    <row r="59" spans="1:1" s="31" customFormat="1" x14ac:dyDescent="0.2">
      <c r="A59" s="39">
        <v>0</v>
      </c>
    </row>
    <row r="60" spans="1:1" s="31" customFormat="1" x14ac:dyDescent="0.2">
      <c r="A60" s="38">
        <v>0</v>
      </c>
    </row>
    <row r="61" spans="1:1" s="31" customFormat="1" ht="26" x14ac:dyDescent="0.2">
      <c r="A61" s="36" t="s">
        <v>549</v>
      </c>
    </row>
    <row r="62" spans="1:1" s="31" customFormat="1" x14ac:dyDescent="0.2">
      <c r="A62" s="38">
        <v>0</v>
      </c>
    </row>
    <row r="63" spans="1:1" s="31" customFormat="1" x14ac:dyDescent="0.2">
      <c r="A63" s="39">
        <v>0</v>
      </c>
    </row>
    <row r="64" spans="1:1" s="31" customFormat="1" x14ac:dyDescent="0.2">
      <c r="A64" s="38">
        <v>0</v>
      </c>
    </row>
    <row r="65" spans="1:1" s="31" customFormat="1" x14ac:dyDescent="0.2">
      <c r="A65" s="39">
        <v>0</v>
      </c>
    </row>
    <row r="66" spans="1:1" s="31" customFormat="1" x14ac:dyDescent="0.2">
      <c r="A66" s="38">
        <v>0</v>
      </c>
    </row>
    <row r="67" spans="1:1" s="31" customFormat="1" x14ac:dyDescent="0.2">
      <c r="A67" s="39">
        <v>0</v>
      </c>
    </row>
    <row r="68" spans="1:1" s="31" customFormat="1" x14ac:dyDescent="0.2">
      <c r="A68" s="38">
        <v>0</v>
      </c>
    </row>
    <row r="69" spans="1:1" s="31" customFormat="1" x14ac:dyDescent="0.2">
      <c r="A69" s="39">
        <v>0</v>
      </c>
    </row>
    <row r="70" spans="1:1" s="31" customFormat="1" ht="52" x14ac:dyDescent="0.2">
      <c r="A70" s="35" t="s">
        <v>550</v>
      </c>
    </row>
    <row r="71" spans="1:1" s="31" customFormat="1" x14ac:dyDescent="0.2">
      <c r="A71" s="39">
        <v>0</v>
      </c>
    </row>
    <row r="72" spans="1:1" s="31" customFormat="1" x14ac:dyDescent="0.2">
      <c r="A72" s="38">
        <v>0</v>
      </c>
    </row>
    <row r="73" spans="1:1" s="31" customFormat="1" x14ac:dyDescent="0.2">
      <c r="A73" s="39" t="s">
        <v>325</v>
      </c>
    </row>
    <row r="74" spans="1:1" s="31" customFormat="1" x14ac:dyDescent="0.2">
      <c r="A74" s="38">
        <v>0</v>
      </c>
    </row>
    <row r="75" spans="1:1" s="31" customFormat="1" x14ac:dyDescent="0.2">
      <c r="A75" s="39">
        <v>0</v>
      </c>
    </row>
    <row r="76" spans="1:1" s="31" customFormat="1" x14ac:dyDescent="0.2">
      <c r="A76" s="38">
        <v>0</v>
      </c>
    </row>
    <row r="77" spans="1:1" s="31" customFormat="1" x14ac:dyDescent="0.2">
      <c r="A77" s="39">
        <v>0</v>
      </c>
    </row>
    <row r="78" spans="1:1" s="31" customFormat="1" x14ac:dyDescent="0.2">
      <c r="A78" s="38">
        <v>0</v>
      </c>
    </row>
    <row r="79" spans="1:1" s="31" customFormat="1" x14ac:dyDescent="0.2">
      <c r="A79" s="39">
        <v>0</v>
      </c>
    </row>
    <row r="80" spans="1:1" s="31" customFormat="1" x14ac:dyDescent="0.2">
      <c r="A80" s="38">
        <v>0</v>
      </c>
    </row>
    <row r="81" spans="1:1" s="31" customFormat="1" x14ac:dyDescent="0.2">
      <c r="A81" s="39">
        <v>0</v>
      </c>
    </row>
    <row r="82" spans="1:1" s="31" customFormat="1" x14ac:dyDescent="0.2">
      <c r="A82" s="38">
        <v>0</v>
      </c>
    </row>
    <row r="83" spans="1:1" s="31" customFormat="1" x14ac:dyDescent="0.2">
      <c r="A83" s="39">
        <v>0</v>
      </c>
    </row>
    <row r="84" spans="1:1" s="31" customFormat="1" x14ac:dyDescent="0.2">
      <c r="A84" s="38">
        <v>0</v>
      </c>
    </row>
    <row r="85" spans="1:1" s="31" customFormat="1" x14ac:dyDescent="0.2">
      <c r="A85" s="39">
        <v>0</v>
      </c>
    </row>
    <row r="86" spans="1:1" s="31" customFormat="1" x14ac:dyDescent="0.2">
      <c r="A86" s="35">
        <v>0</v>
      </c>
    </row>
    <row r="87" spans="1:1" s="31" customFormat="1" ht="28" x14ac:dyDescent="0.2">
      <c r="A87" s="39" t="s">
        <v>204</v>
      </c>
    </row>
    <row r="88" spans="1:1" s="31" customFormat="1" x14ac:dyDescent="0.2">
      <c r="A88" s="38">
        <v>0</v>
      </c>
    </row>
    <row r="89" spans="1:1" s="31" customFormat="1" x14ac:dyDescent="0.2">
      <c r="A89" s="39">
        <v>0</v>
      </c>
    </row>
    <row r="90" spans="1:1" s="31" customFormat="1" x14ac:dyDescent="0.2">
      <c r="A90" s="38">
        <v>0</v>
      </c>
    </row>
    <row r="91" spans="1:1" s="31" customFormat="1" x14ac:dyDescent="0.2">
      <c r="A91" s="39">
        <v>0</v>
      </c>
    </row>
    <row r="92" spans="1:1" s="31" customFormat="1" x14ac:dyDescent="0.2">
      <c r="A92" s="38">
        <v>0</v>
      </c>
    </row>
    <row r="93" spans="1:1" s="31" customFormat="1" x14ac:dyDescent="0.2">
      <c r="A93" s="39">
        <v>0</v>
      </c>
    </row>
    <row r="94" spans="1:1" s="31" customFormat="1" x14ac:dyDescent="0.2">
      <c r="A94" s="38">
        <v>0</v>
      </c>
    </row>
    <row r="95" spans="1:1" s="31" customFormat="1" x14ac:dyDescent="0.2">
      <c r="A95" s="39">
        <v>0</v>
      </c>
    </row>
    <row r="96" spans="1:1" s="31" customFormat="1" x14ac:dyDescent="0.2">
      <c r="A96" s="38">
        <v>0</v>
      </c>
    </row>
    <row r="97" spans="1:1" s="31" customFormat="1" x14ac:dyDescent="0.2">
      <c r="A97" s="39">
        <v>0</v>
      </c>
    </row>
    <row r="98" spans="1:1" s="31" customFormat="1" x14ac:dyDescent="0.2">
      <c r="A98" s="38">
        <v>0</v>
      </c>
    </row>
    <row r="99" spans="1:1" s="31" customFormat="1" x14ac:dyDescent="0.2">
      <c r="A99" s="39">
        <v>0</v>
      </c>
    </row>
    <row r="100" spans="1:1" s="31" customFormat="1" x14ac:dyDescent="0.2">
      <c r="A100" s="35">
        <v>0</v>
      </c>
    </row>
    <row r="101" spans="1:1" s="31" customFormat="1" x14ac:dyDescent="0.2">
      <c r="A101" s="39">
        <v>0</v>
      </c>
    </row>
    <row r="102" spans="1:1" s="31" customFormat="1" x14ac:dyDescent="0.2">
      <c r="A102" s="38">
        <v>0</v>
      </c>
    </row>
    <row r="103" spans="1:1" s="31" customFormat="1" x14ac:dyDescent="0.2">
      <c r="A103" s="39">
        <v>0</v>
      </c>
    </row>
    <row r="104" spans="1:1" s="31" customFormat="1" x14ac:dyDescent="0.2">
      <c r="A104" s="38">
        <v>0</v>
      </c>
    </row>
    <row r="105" spans="1:1" s="31" customFormat="1" x14ac:dyDescent="0.2">
      <c r="A105" s="39">
        <v>0</v>
      </c>
    </row>
    <row r="106" spans="1:1" s="31" customFormat="1" x14ac:dyDescent="0.2">
      <c r="A106" s="38">
        <v>0</v>
      </c>
    </row>
    <row r="107" spans="1:1" s="31" customFormat="1" x14ac:dyDescent="0.2">
      <c r="A107" s="39">
        <v>0</v>
      </c>
    </row>
    <row r="108" spans="1:1" s="31" customFormat="1" x14ac:dyDescent="0.2">
      <c r="A108" s="35">
        <v>0</v>
      </c>
    </row>
    <row r="109" spans="1:1" s="31" customFormat="1" x14ac:dyDescent="0.2">
      <c r="A109" s="39">
        <v>0</v>
      </c>
    </row>
    <row r="110" spans="1:1" s="31" customFormat="1" x14ac:dyDescent="0.2">
      <c r="A110" s="38">
        <v>0</v>
      </c>
    </row>
    <row r="111" spans="1:1" s="31" customFormat="1" x14ac:dyDescent="0.2">
      <c r="A111" s="39">
        <v>0</v>
      </c>
    </row>
    <row r="112" spans="1:1" s="31" customFormat="1" x14ac:dyDescent="0.2">
      <c r="A112" s="38">
        <v>0</v>
      </c>
    </row>
    <row r="113" spans="1:1" s="31" customFormat="1" x14ac:dyDescent="0.2">
      <c r="A113" s="39">
        <v>0</v>
      </c>
    </row>
    <row r="114" spans="1:1" s="31" customFormat="1" x14ac:dyDescent="0.2">
      <c r="A114" s="38">
        <v>0</v>
      </c>
    </row>
    <row r="115" spans="1:1" s="31" customFormat="1" x14ac:dyDescent="0.2">
      <c r="A115" s="39">
        <v>0</v>
      </c>
    </row>
    <row r="116" spans="1:1" s="31" customFormat="1" x14ac:dyDescent="0.2">
      <c r="A116" s="38">
        <v>0</v>
      </c>
    </row>
    <row r="117" spans="1:1" s="31" customFormat="1" x14ac:dyDescent="0.2">
      <c r="A117" s="39">
        <v>0</v>
      </c>
    </row>
    <row r="118" spans="1:1" s="31" customFormat="1" x14ac:dyDescent="0.2">
      <c r="A118" s="38">
        <v>0</v>
      </c>
    </row>
    <row r="119" spans="1:1" s="31" customFormat="1" x14ac:dyDescent="0.2">
      <c r="A119" s="39">
        <v>0</v>
      </c>
    </row>
    <row r="120" spans="1:1" s="31" customFormat="1" x14ac:dyDescent="0.2">
      <c r="A120" s="38">
        <v>0</v>
      </c>
    </row>
    <row r="121" spans="1:1" s="31" customFormat="1" x14ac:dyDescent="0.2">
      <c r="A121" s="39">
        <v>0</v>
      </c>
    </row>
    <row r="122" spans="1:1" s="31" customFormat="1" x14ac:dyDescent="0.2">
      <c r="A122" s="38">
        <v>0</v>
      </c>
    </row>
    <row r="123" spans="1:1" s="31" customFormat="1" x14ac:dyDescent="0.2">
      <c r="A123" s="39">
        <v>0</v>
      </c>
    </row>
    <row r="124" spans="1:1" s="31" customFormat="1" x14ac:dyDescent="0.2">
      <c r="A124" s="38">
        <v>0</v>
      </c>
    </row>
    <row r="125" spans="1:1" s="31" customFormat="1" x14ac:dyDescent="0.2">
      <c r="A125" s="39">
        <v>0</v>
      </c>
    </row>
    <row r="126" spans="1:1" s="31" customFormat="1" x14ac:dyDescent="0.2">
      <c r="A126" s="38">
        <v>0</v>
      </c>
    </row>
    <row r="127" spans="1:1" s="31" customFormat="1" x14ac:dyDescent="0.2">
      <c r="A127" s="39">
        <v>0</v>
      </c>
    </row>
    <row r="128" spans="1:1" s="31" customFormat="1" x14ac:dyDescent="0.2">
      <c r="A128" s="38">
        <v>0</v>
      </c>
    </row>
    <row r="129" spans="1:1" s="31" customFormat="1" x14ac:dyDescent="0.2">
      <c r="A129" s="39">
        <v>0</v>
      </c>
    </row>
    <row r="130" spans="1:1" s="31" customFormat="1" x14ac:dyDescent="0.2">
      <c r="A130" s="38">
        <v>0</v>
      </c>
    </row>
    <row r="131" spans="1:1" s="31" customFormat="1" x14ac:dyDescent="0.2">
      <c r="A131" s="36">
        <v>0</v>
      </c>
    </row>
    <row r="132" spans="1:1" s="31" customFormat="1" x14ac:dyDescent="0.2">
      <c r="A132" s="38">
        <v>0</v>
      </c>
    </row>
    <row r="133" spans="1:1" s="31" customFormat="1" x14ac:dyDescent="0.2">
      <c r="A133" s="39">
        <v>0</v>
      </c>
    </row>
    <row r="134" spans="1:1" s="31" customFormat="1" x14ac:dyDescent="0.2">
      <c r="A134" s="38">
        <v>0</v>
      </c>
    </row>
    <row r="135" spans="1:1" s="31" customFormat="1" x14ac:dyDescent="0.2">
      <c r="A135" s="39">
        <v>0</v>
      </c>
    </row>
    <row r="136" spans="1:1" s="31" customFormat="1" x14ac:dyDescent="0.2">
      <c r="A136" s="35">
        <v>0</v>
      </c>
    </row>
    <row r="137" spans="1:1" s="31" customFormat="1" x14ac:dyDescent="0.2">
      <c r="A137" s="39">
        <v>0</v>
      </c>
    </row>
    <row r="138" spans="1:1" s="31" customFormat="1" x14ac:dyDescent="0.2">
      <c r="A138" s="38">
        <v>0</v>
      </c>
    </row>
    <row r="139" spans="1:1" s="31" customFormat="1" x14ac:dyDescent="0.2">
      <c r="A139" s="39">
        <v>0</v>
      </c>
    </row>
    <row r="140" spans="1:1" s="31" customFormat="1" x14ac:dyDescent="0.2">
      <c r="A140" s="38">
        <v>0</v>
      </c>
    </row>
    <row r="141" spans="1:1" s="31" customFormat="1" x14ac:dyDescent="0.2">
      <c r="A141" s="39">
        <v>0</v>
      </c>
    </row>
    <row r="142" spans="1:1" s="31" customFormat="1" x14ac:dyDescent="0.2">
      <c r="A142" s="38">
        <v>0</v>
      </c>
    </row>
    <row r="143" spans="1:1" s="31" customFormat="1" x14ac:dyDescent="0.2">
      <c r="A143" s="36">
        <v>0</v>
      </c>
    </row>
    <row r="144" spans="1:1" s="31" customFormat="1" x14ac:dyDescent="0.2">
      <c r="A144" s="35">
        <v>0</v>
      </c>
    </row>
    <row r="145" spans="1:1" s="31" customFormat="1" x14ac:dyDescent="0.2">
      <c r="A145" s="36">
        <v>0</v>
      </c>
    </row>
    <row r="146" spans="1:1" s="31" customFormat="1" ht="26" x14ac:dyDescent="0.2">
      <c r="A146" s="35" t="s">
        <v>415</v>
      </c>
    </row>
    <row r="147" spans="1:1" s="31" customFormat="1" x14ac:dyDescent="0.2">
      <c r="A147" s="39">
        <v>0</v>
      </c>
    </row>
    <row r="148" spans="1:1" s="31" customFormat="1" x14ac:dyDescent="0.2">
      <c r="A148" s="38">
        <v>0</v>
      </c>
    </row>
    <row r="149" spans="1:1" s="31" customFormat="1" x14ac:dyDescent="0.2">
      <c r="A149" s="39">
        <v>0</v>
      </c>
    </row>
    <row r="150" spans="1:1" s="31" customFormat="1" x14ac:dyDescent="0.2">
      <c r="A150" s="38">
        <v>0</v>
      </c>
    </row>
    <row r="151" spans="1:1" s="31" customFormat="1" x14ac:dyDescent="0.2">
      <c r="A151" s="39">
        <v>0</v>
      </c>
    </row>
    <row r="152" spans="1:1" s="31" customFormat="1" x14ac:dyDescent="0.2">
      <c r="A152" s="40">
        <v>0</v>
      </c>
    </row>
  </sheetData>
  <pageMargins left="0.70000000000000007" right="0.70000000000000007" top="0.75" bottom="0.75" header="0.30000000000000004" footer="0.3000000000000000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45C5-ED24-4DE6-A625-B3EA3A9F9ECB}">
  <dimension ref="A3:B19"/>
  <sheetViews>
    <sheetView topLeftCell="A17" workbookViewId="0">
      <selection activeCell="A22" sqref="A22"/>
    </sheetView>
  </sheetViews>
  <sheetFormatPr baseColWidth="10" defaultColWidth="10.83203125" defaultRowHeight="15" x14ac:dyDescent="0.2"/>
  <cols>
    <col min="1" max="1" width="69.83203125"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ht="32" x14ac:dyDescent="0.2">
      <c r="A4" s="53" t="s">
        <v>59</v>
      </c>
      <c r="B4" t="s">
        <v>485</v>
      </c>
    </row>
    <row r="5" spans="1:2" x14ac:dyDescent="0.2">
      <c r="A5" t="s">
        <v>640</v>
      </c>
      <c r="B5" s="26">
        <v>5.7142857142857141E-2</v>
      </c>
    </row>
    <row r="6" spans="1:2" x14ac:dyDescent="0.2">
      <c r="A6" t="s">
        <v>638</v>
      </c>
      <c r="B6" s="26">
        <v>2.8571428571428571E-2</v>
      </c>
    </row>
    <row r="7" spans="1:2" x14ac:dyDescent="0.2">
      <c r="A7" t="s">
        <v>631</v>
      </c>
      <c r="B7" s="26">
        <v>5.7142857142857141E-2</v>
      </c>
    </row>
    <row r="8" spans="1:2" x14ac:dyDescent="0.2">
      <c r="A8" t="s">
        <v>629</v>
      </c>
      <c r="B8" s="26">
        <v>0.34285714285714286</v>
      </c>
    </row>
    <row r="9" spans="1:2" x14ac:dyDescent="0.2">
      <c r="A9" t="s">
        <v>633</v>
      </c>
      <c r="B9" s="26">
        <v>2.8571428571428571E-2</v>
      </c>
    </row>
    <row r="10" spans="1:2" x14ac:dyDescent="0.2">
      <c r="A10" t="s">
        <v>636</v>
      </c>
      <c r="B10" s="26">
        <v>0.17142857142857143</v>
      </c>
    </row>
    <row r="11" spans="1:2" x14ac:dyDescent="0.2">
      <c r="A11" t="s">
        <v>628</v>
      </c>
      <c r="B11" s="26">
        <v>2.8571428571428571E-2</v>
      </c>
    </row>
    <row r="12" spans="1:2" x14ac:dyDescent="0.2">
      <c r="A12" t="s">
        <v>634</v>
      </c>
      <c r="B12" s="26">
        <v>2.8571428571428571E-2</v>
      </c>
    </row>
    <row r="13" spans="1:2" x14ac:dyDescent="0.2">
      <c r="A13" t="s">
        <v>632</v>
      </c>
      <c r="B13" s="26">
        <v>5.7142857142857141E-2</v>
      </c>
    </row>
    <row r="14" spans="1:2" x14ac:dyDescent="0.2">
      <c r="A14" t="s">
        <v>635</v>
      </c>
      <c r="B14" s="26">
        <v>2.8571428571428571E-2</v>
      </c>
    </row>
    <row r="15" spans="1:2" x14ac:dyDescent="0.2">
      <c r="A15" t="s">
        <v>641</v>
      </c>
      <c r="B15" s="26">
        <v>2.8571428571428571E-2</v>
      </c>
    </row>
    <row r="16" spans="1:2" x14ac:dyDescent="0.2">
      <c r="A16" t="s">
        <v>639</v>
      </c>
      <c r="B16" s="26">
        <v>8.5714285714285715E-2</v>
      </c>
    </row>
    <row r="17" spans="1:2" x14ac:dyDescent="0.2">
      <c r="A17" t="s">
        <v>637</v>
      </c>
      <c r="B17" s="26">
        <v>2.8571428571428571E-2</v>
      </c>
    </row>
    <row r="18" spans="1:2" x14ac:dyDescent="0.2">
      <c r="A18" t="s">
        <v>630</v>
      </c>
      <c r="B18" s="26">
        <v>2.8571428571428571E-2</v>
      </c>
    </row>
    <row r="19" spans="1:2" x14ac:dyDescent="0.2">
      <c r="A19" t="s">
        <v>6</v>
      </c>
      <c r="B19" s="26">
        <v>1</v>
      </c>
    </row>
  </sheetData>
  <pageMargins left="0.7" right="0.7" top="0.75" bottom="0.75" header="0.3" footer="0.3"/>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A44D-C946-443E-BDF0-A58E3338908F}">
  <dimension ref="A1:G152"/>
  <sheetViews>
    <sheetView topLeftCell="D16" zoomScale="90" zoomScaleNormal="90" workbookViewId="0">
      <selection activeCell="F1" sqref="F1:G2"/>
    </sheetView>
  </sheetViews>
  <sheetFormatPr baseColWidth="10" defaultColWidth="11.83203125" defaultRowHeight="15" x14ac:dyDescent="0.2"/>
  <cols>
    <col min="1" max="1" width="41.33203125" customWidth="1"/>
    <col min="2" max="2" width="11.83203125" customWidth="1"/>
    <col min="3" max="3" width="65.83203125" customWidth="1"/>
    <col min="4" max="4" width="11.83203125" customWidth="1"/>
    <col min="6" max="6" width="38.5" customWidth="1"/>
  </cols>
  <sheetData>
    <row r="1" spans="1:7" s="31" customFormat="1" ht="39" x14ac:dyDescent="0.2">
      <c r="A1" s="34" t="s">
        <v>59</v>
      </c>
      <c r="C1" s="34" t="s">
        <v>59</v>
      </c>
      <c r="D1" s="41" t="s">
        <v>485</v>
      </c>
      <c r="F1" s="34" t="str">
        <f>$A1</f>
        <v>Souhaitez-vous partager une expérience ou un avis personnel concernant l’ostéopathie et la collaboration avec les sages-femmes ?</v>
      </c>
      <c r="G1" s="41" t="s">
        <v>575</v>
      </c>
    </row>
    <row r="2" spans="1:7" s="31" customFormat="1" ht="16" x14ac:dyDescent="0.2">
      <c r="A2" s="38">
        <v>0</v>
      </c>
      <c r="C2" s="31" t="s">
        <v>497</v>
      </c>
      <c r="D2" s="31">
        <f>COUNTIF($A$2:$A$152,"*Favorable à l’intégration de l’ostéopathie*")</f>
        <v>1</v>
      </c>
      <c r="F2" s="31" t="str">
        <f t="shared" ref="F2" si="0">C2&amp;" "&amp;"(n="&amp;D2&amp;")"</f>
        <v>Favorable à l’intégration de l’ostéopathie (n=1)</v>
      </c>
      <c r="G2" s="32">
        <f>D2/SUM(D$2:D$16)</f>
        <v>2.8571428571428571E-2</v>
      </c>
    </row>
    <row r="3" spans="1:7" s="31" customFormat="1" ht="16" x14ac:dyDescent="0.2">
      <c r="A3" s="39">
        <v>0</v>
      </c>
      <c r="C3" s="31" t="s">
        <v>491</v>
      </c>
      <c r="D3" s="31">
        <f>COUNTIF($A$2:$A$152,"*Collaboration interprofessionnelle*")</f>
        <v>12</v>
      </c>
      <c r="F3" s="31" t="str">
        <f t="shared" ref="F3:F16" si="1">C3&amp;" "&amp;"(n="&amp;D3&amp;")"</f>
        <v>Collaboration interprofessionnelle (n=12)</v>
      </c>
      <c r="G3" s="32">
        <f t="shared" ref="G3:G16" si="2">D3/SUM(D$2:D$16)</f>
        <v>0.34285714285714286</v>
      </c>
    </row>
    <row r="4" spans="1:7" s="31" customFormat="1" ht="16" x14ac:dyDescent="0.2">
      <c r="A4" s="38">
        <v>0</v>
      </c>
      <c r="C4" s="31" t="s">
        <v>498</v>
      </c>
      <c r="D4" s="31">
        <f>COUNTIF($A$2:$A$152,"*Spécialisation en périnatalité*")</f>
        <v>1</v>
      </c>
      <c r="F4" s="31" t="str">
        <f t="shared" si="1"/>
        <v>Spécialisation en périnatalité (n=1)</v>
      </c>
      <c r="G4" s="32">
        <f t="shared" si="2"/>
        <v>2.8571428571428571E-2</v>
      </c>
    </row>
    <row r="5" spans="1:7" s="31" customFormat="1" ht="16" x14ac:dyDescent="0.2">
      <c r="A5" s="39">
        <v>0</v>
      </c>
      <c r="C5" s="31" t="s">
        <v>499</v>
      </c>
      <c r="D5" s="31">
        <f>COUNTIF($A$2:$A$152,"*Bénéfices subjectifs*")</f>
        <v>1</v>
      </c>
      <c r="F5" s="31" t="str">
        <f t="shared" si="1"/>
        <v>Bénéfices subjectifs (n=1)</v>
      </c>
      <c r="G5" s="32">
        <f t="shared" si="2"/>
        <v>2.8571428571428571E-2</v>
      </c>
    </row>
    <row r="6" spans="1:7" s="31" customFormat="1" ht="16" x14ac:dyDescent="0.2">
      <c r="A6" s="38">
        <v>0</v>
      </c>
      <c r="C6" s="31" t="s">
        <v>193</v>
      </c>
      <c r="D6" s="31">
        <f>COUNTIF($A$2:$A$152,"*Insuffisance de preuves scientifiques*")</f>
        <v>2</v>
      </c>
      <c r="F6" s="31" t="str">
        <f t="shared" si="1"/>
        <v>Insuffisance de preuves scientifiques (n=2)</v>
      </c>
      <c r="G6" s="32">
        <f t="shared" si="2"/>
        <v>5.7142857142857141E-2</v>
      </c>
    </row>
    <row r="7" spans="1:7" s="31" customFormat="1" ht="16" x14ac:dyDescent="0.2">
      <c r="A7" s="39">
        <v>0</v>
      </c>
      <c r="C7" s="31" t="s">
        <v>500</v>
      </c>
      <c r="D7" s="31">
        <f>COUNTIF($A$2:$A$152,"*Coût pout les patientes*")</f>
        <v>1</v>
      </c>
      <c r="F7" s="31" t="str">
        <f t="shared" si="1"/>
        <v>Coût pout les patientes (n=1)</v>
      </c>
      <c r="G7" s="32">
        <f t="shared" si="2"/>
        <v>2.8571428571428571E-2</v>
      </c>
    </row>
    <row r="8" spans="1:7" s="31" customFormat="1" ht="16" x14ac:dyDescent="0.2">
      <c r="A8" s="38">
        <v>0</v>
      </c>
      <c r="C8" s="31" t="s">
        <v>501</v>
      </c>
      <c r="D8" s="31">
        <f>COUNTIF($A$2:$A$152,"*Freins éthiques et scientifiques *")</f>
        <v>1</v>
      </c>
      <c r="F8" s="31" t="str">
        <f t="shared" si="1"/>
        <v>Freins éthiques et scientifiques  (n=1)</v>
      </c>
      <c r="G8" s="32">
        <f t="shared" si="2"/>
        <v>2.8571428571428571E-2</v>
      </c>
    </row>
    <row r="9" spans="1:7" s="31" customFormat="1" ht="32" x14ac:dyDescent="0.2">
      <c r="A9" s="39">
        <v>0</v>
      </c>
      <c r="C9" s="31" t="s">
        <v>502</v>
      </c>
      <c r="D9" s="31">
        <f>COUNTIF($A$2:$A$152,"*Limites institutionnelles à la mise en place de collaborations interprofessionnelles*")</f>
        <v>1</v>
      </c>
      <c r="F9" s="31" t="str">
        <f t="shared" si="1"/>
        <v>Limites institutionnelles à la mise en place de collaborations interprofessionnelles (n=1)</v>
      </c>
      <c r="G9" s="32">
        <f t="shared" si="2"/>
        <v>2.8571428571428571E-2</v>
      </c>
    </row>
    <row r="10" spans="1:7" s="31" customFormat="1" ht="16" x14ac:dyDescent="0.2">
      <c r="A10" s="38">
        <v>0</v>
      </c>
      <c r="C10" s="31" t="s">
        <v>503</v>
      </c>
      <c r="D10" s="31">
        <f>COUNTIF($A$2:$A$152,"*Efficacité perçue*")</f>
        <v>6</v>
      </c>
      <c r="F10" s="31" t="str">
        <f t="shared" si="1"/>
        <v>Efficacité perçue (n=6)</v>
      </c>
      <c r="G10" s="32">
        <f t="shared" si="2"/>
        <v>0.17142857142857143</v>
      </c>
    </row>
    <row r="11" spans="1:7" s="31" customFormat="1" ht="16" x14ac:dyDescent="0.2">
      <c r="A11" s="39">
        <v>0</v>
      </c>
      <c r="C11" s="31" t="s">
        <v>504</v>
      </c>
      <c r="D11" s="31">
        <f>COUNTIF($A$2:$A$152,"*Présentation en siège*")</f>
        <v>1</v>
      </c>
      <c r="F11" s="31" t="str">
        <f t="shared" si="1"/>
        <v>Présentation en siège (n=1)</v>
      </c>
      <c r="G11" s="32">
        <f t="shared" si="2"/>
        <v>2.8571428571428571E-2</v>
      </c>
    </row>
    <row r="12" spans="1:7" s="31" customFormat="1" ht="16" x14ac:dyDescent="0.2">
      <c r="A12" s="38">
        <v>0</v>
      </c>
      <c r="C12" s="31" t="s">
        <v>505</v>
      </c>
      <c r="D12" s="31">
        <f>COUNTIF($A$2:$A$152,"*Allaitement*")</f>
        <v>1</v>
      </c>
      <c r="F12" s="31" t="str">
        <f t="shared" si="1"/>
        <v>Allaitement (n=1)</v>
      </c>
      <c r="G12" s="32">
        <f t="shared" si="2"/>
        <v>2.8571428571428571E-2</v>
      </c>
    </row>
    <row r="13" spans="1:7" s="31" customFormat="1" ht="16" x14ac:dyDescent="0.2">
      <c r="A13" s="39">
        <v>0</v>
      </c>
      <c r="C13" s="31" t="s">
        <v>506</v>
      </c>
      <c r="D13" s="31">
        <f>COUNTIF($A$2:$A$152,"*Nouveaux-nés*")</f>
        <v>3</v>
      </c>
      <c r="F13" s="31" t="str">
        <f t="shared" si="1"/>
        <v>Nouveaux-nés (n=3)</v>
      </c>
      <c r="G13" s="32">
        <f t="shared" si="2"/>
        <v>8.5714285714285715E-2</v>
      </c>
    </row>
    <row r="14" spans="1:7" s="31" customFormat="1" ht="39" x14ac:dyDescent="0.2">
      <c r="A14" s="35" t="s">
        <v>507</v>
      </c>
      <c r="C14" s="31" t="s">
        <v>462</v>
      </c>
      <c r="D14" s="31">
        <f>COUNTIF($A$2:$A$152,"*Absence de recommandation institutionnelle*")</f>
        <v>2</v>
      </c>
      <c r="F14" s="31" t="str">
        <f t="shared" si="1"/>
        <v>Absence de recommandation institutionnelle  (n=2)</v>
      </c>
      <c r="G14" s="32">
        <f t="shared" si="2"/>
        <v>5.7142857142857141E-2</v>
      </c>
    </row>
    <row r="15" spans="1:7" s="31" customFormat="1" ht="32" x14ac:dyDescent="0.2">
      <c r="A15" s="39">
        <v>0</v>
      </c>
      <c r="C15" s="31" t="s">
        <v>508</v>
      </c>
      <c r="D15" s="31">
        <f>COUNTIF($A$2:$A$152,"*Manque d’informations sur les pratiques ostéopathiques en périnatalité*")</f>
        <v>1</v>
      </c>
      <c r="F15" s="31" t="str">
        <f t="shared" si="1"/>
        <v>Manque d’informations sur les pratiques ostéopathiques en périnatalité (n=1)</v>
      </c>
      <c r="G15" s="32">
        <f t="shared" si="2"/>
        <v>2.8571428571428571E-2</v>
      </c>
    </row>
    <row r="16" spans="1:7" s="31" customFormat="1" ht="16" x14ac:dyDescent="0.2">
      <c r="A16" s="38">
        <v>0</v>
      </c>
      <c r="C16" s="31" t="s">
        <v>499</v>
      </c>
      <c r="D16" s="31">
        <f>COUNTIF($A$2:$A$152,"*Bénéfices subjectifs*")</f>
        <v>1</v>
      </c>
      <c r="F16" s="31" t="str">
        <f t="shared" si="1"/>
        <v>Bénéfices subjectifs (n=1)</v>
      </c>
      <c r="G16" s="32">
        <f t="shared" si="2"/>
        <v>2.8571428571428571E-2</v>
      </c>
    </row>
    <row r="17" spans="1:7" s="31" customFormat="1" x14ac:dyDescent="0.2">
      <c r="A17" s="39">
        <v>0</v>
      </c>
    </row>
    <row r="18" spans="1:7" s="31" customFormat="1" x14ac:dyDescent="0.2">
      <c r="A18" s="38">
        <v>0</v>
      </c>
      <c r="D18" s="31">
        <f>SUM(D2:D16)</f>
        <v>35</v>
      </c>
      <c r="G18" s="32">
        <f>SUM(G2:G16)</f>
        <v>1</v>
      </c>
    </row>
    <row r="19" spans="1:7" s="31" customFormat="1" x14ac:dyDescent="0.2">
      <c r="A19" s="39">
        <v>0</v>
      </c>
    </row>
    <row r="20" spans="1:7" s="31" customFormat="1" x14ac:dyDescent="0.2">
      <c r="A20" s="38">
        <v>0</v>
      </c>
    </row>
    <row r="21" spans="1:7" s="31" customFormat="1" x14ac:dyDescent="0.2">
      <c r="A21" s="39">
        <v>0</v>
      </c>
    </row>
    <row r="22" spans="1:7" s="31" customFormat="1" x14ac:dyDescent="0.2">
      <c r="A22" s="38">
        <v>0</v>
      </c>
    </row>
    <row r="23" spans="1:7" s="31" customFormat="1" x14ac:dyDescent="0.2">
      <c r="A23" s="39">
        <v>0</v>
      </c>
    </row>
    <row r="24" spans="1:7" s="31" customFormat="1" ht="42" x14ac:dyDescent="0.2">
      <c r="A24" s="38" t="s">
        <v>543</v>
      </c>
    </row>
    <row r="25" spans="1:7" s="31" customFormat="1" x14ac:dyDescent="0.2">
      <c r="A25" s="39">
        <v>0</v>
      </c>
    </row>
    <row r="26" spans="1:7" s="31" customFormat="1" x14ac:dyDescent="0.2">
      <c r="A26" s="38">
        <v>0</v>
      </c>
    </row>
    <row r="27" spans="1:7" s="31" customFormat="1" ht="26" x14ac:dyDescent="0.2">
      <c r="A27" s="36" t="s">
        <v>196</v>
      </c>
    </row>
    <row r="28" spans="1:7" s="31" customFormat="1" x14ac:dyDescent="0.2">
      <c r="A28" s="35" t="s">
        <v>206</v>
      </c>
    </row>
    <row r="29" spans="1:7" s="31" customFormat="1" x14ac:dyDescent="0.2">
      <c r="A29" s="39">
        <v>0</v>
      </c>
    </row>
    <row r="30" spans="1:7" s="31" customFormat="1" x14ac:dyDescent="0.2">
      <c r="A30" s="38">
        <v>0</v>
      </c>
    </row>
    <row r="31" spans="1:7" s="31" customFormat="1" x14ac:dyDescent="0.2">
      <c r="A31" s="39">
        <v>0</v>
      </c>
    </row>
    <row r="32" spans="1:7" s="31" customFormat="1" ht="28" x14ac:dyDescent="0.2">
      <c r="A32" s="38" t="s">
        <v>415</v>
      </c>
    </row>
    <row r="33" spans="1:1" s="31" customFormat="1" x14ac:dyDescent="0.2">
      <c r="A33" s="39">
        <v>0</v>
      </c>
    </row>
    <row r="34" spans="1:1" s="31" customFormat="1" ht="28" x14ac:dyDescent="0.2">
      <c r="A34" s="38" t="s">
        <v>415</v>
      </c>
    </row>
    <row r="35" spans="1:1" s="31" customFormat="1" x14ac:dyDescent="0.2">
      <c r="A35" s="39">
        <v>0</v>
      </c>
    </row>
    <row r="36" spans="1:1" s="31" customFormat="1" x14ac:dyDescent="0.2">
      <c r="A36" s="38">
        <v>0</v>
      </c>
    </row>
    <row r="37" spans="1:1" s="31" customFormat="1" x14ac:dyDescent="0.2">
      <c r="A37" s="39">
        <v>0</v>
      </c>
    </row>
    <row r="38" spans="1:1" s="31" customFormat="1" x14ac:dyDescent="0.2">
      <c r="A38" s="38">
        <v>0</v>
      </c>
    </row>
    <row r="39" spans="1:1" s="31" customFormat="1" x14ac:dyDescent="0.2">
      <c r="A39" s="39">
        <v>0</v>
      </c>
    </row>
    <row r="40" spans="1:1" s="31" customFormat="1" x14ac:dyDescent="0.2">
      <c r="A40" s="38">
        <v>0</v>
      </c>
    </row>
    <row r="41" spans="1:1" s="31" customFormat="1" x14ac:dyDescent="0.2">
      <c r="A41" s="39">
        <v>0</v>
      </c>
    </row>
    <row r="42" spans="1:1" s="31" customFormat="1" x14ac:dyDescent="0.2">
      <c r="A42" s="38">
        <v>0</v>
      </c>
    </row>
    <row r="43" spans="1:1" s="31" customFormat="1" x14ac:dyDescent="0.2">
      <c r="A43" s="39">
        <v>0</v>
      </c>
    </row>
    <row r="44" spans="1:1" s="31" customFormat="1" x14ac:dyDescent="0.2">
      <c r="A44" s="38">
        <v>0</v>
      </c>
    </row>
    <row r="45" spans="1:1" s="31" customFormat="1" x14ac:dyDescent="0.2">
      <c r="A45" s="39">
        <v>0</v>
      </c>
    </row>
    <row r="46" spans="1:1" s="31" customFormat="1" x14ac:dyDescent="0.2">
      <c r="A46" s="38">
        <v>0</v>
      </c>
    </row>
    <row r="47" spans="1:1" s="31" customFormat="1" x14ac:dyDescent="0.2">
      <c r="A47" s="39">
        <v>0</v>
      </c>
    </row>
    <row r="48" spans="1:1" s="31" customFormat="1" x14ac:dyDescent="0.2">
      <c r="A48" s="38">
        <v>0</v>
      </c>
    </row>
    <row r="49" spans="1:1" s="31" customFormat="1" x14ac:dyDescent="0.2">
      <c r="A49" s="39">
        <v>0</v>
      </c>
    </row>
    <row r="50" spans="1:1" s="31" customFormat="1" x14ac:dyDescent="0.2">
      <c r="A50" s="35">
        <v>0</v>
      </c>
    </row>
    <row r="51" spans="1:1" s="31" customFormat="1" x14ac:dyDescent="0.2">
      <c r="A51" s="39">
        <v>0</v>
      </c>
    </row>
    <row r="52" spans="1:1" s="31" customFormat="1" x14ac:dyDescent="0.2">
      <c r="A52" s="38">
        <v>0</v>
      </c>
    </row>
    <row r="53" spans="1:1" s="31" customFormat="1" x14ac:dyDescent="0.2">
      <c r="A53" s="39">
        <v>0</v>
      </c>
    </row>
    <row r="54" spans="1:1" s="31" customFormat="1" ht="28" x14ac:dyDescent="0.2">
      <c r="A54" s="38" t="s">
        <v>415</v>
      </c>
    </row>
    <row r="55" spans="1:1" s="31" customFormat="1" x14ac:dyDescent="0.2">
      <c r="A55" s="39">
        <v>0</v>
      </c>
    </row>
    <row r="56" spans="1:1" s="31" customFormat="1" x14ac:dyDescent="0.2">
      <c r="A56" s="35">
        <v>0</v>
      </c>
    </row>
    <row r="57" spans="1:1" s="31" customFormat="1" x14ac:dyDescent="0.2">
      <c r="A57" s="39">
        <v>0</v>
      </c>
    </row>
    <row r="58" spans="1:1" s="31" customFormat="1" x14ac:dyDescent="0.2">
      <c r="A58" s="38">
        <v>0</v>
      </c>
    </row>
    <row r="59" spans="1:1" s="31" customFormat="1" x14ac:dyDescent="0.2">
      <c r="A59" s="39">
        <v>0</v>
      </c>
    </row>
    <row r="60" spans="1:1" s="31" customFormat="1" x14ac:dyDescent="0.2">
      <c r="A60" s="38">
        <v>0</v>
      </c>
    </row>
    <row r="61" spans="1:1" s="31" customFormat="1" ht="39" x14ac:dyDescent="0.2">
      <c r="A61" s="36" t="s">
        <v>300</v>
      </c>
    </row>
    <row r="62" spans="1:1" s="31" customFormat="1" x14ac:dyDescent="0.2">
      <c r="A62" s="38">
        <v>0</v>
      </c>
    </row>
    <row r="63" spans="1:1" s="31" customFormat="1" x14ac:dyDescent="0.2">
      <c r="A63" s="39">
        <v>0</v>
      </c>
    </row>
    <row r="64" spans="1:1" s="31" customFormat="1" x14ac:dyDescent="0.2">
      <c r="A64" s="38">
        <v>0</v>
      </c>
    </row>
    <row r="65" spans="1:1" s="31" customFormat="1" x14ac:dyDescent="0.2">
      <c r="A65" s="39">
        <v>0</v>
      </c>
    </row>
    <row r="66" spans="1:1" s="31" customFormat="1" x14ac:dyDescent="0.2">
      <c r="A66" s="38">
        <v>0</v>
      </c>
    </row>
    <row r="67" spans="1:1" s="31" customFormat="1" x14ac:dyDescent="0.2">
      <c r="A67" s="39">
        <v>0</v>
      </c>
    </row>
    <row r="68" spans="1:1" s="31" customFormat="1" x14ac:dyDescent="0.2">
      <c r="A68" s="38">
        <v>0</v>
      </c>
    </row>
    <row r="69" spans="1:1" s="31" customFormat="1" x14ac:dyDescent="0.2">
      <c r="A69" s="39">
        <v>0</v>
      </c>
    </row>
    <row r="70" spans="1:1" s="31" customFormat="1" x14ac:dyDescent="0.2">
      <c r="A70" s="35">
        <v>0</v>
      </c>
    </row>
    <row r="71" spans="1:1" s="31" customFormat="1" x14ac:dyDescent="0.2">
      <c r="A71" s="39">
        <v>0</v>
      </c>
    </row>
    <row r="72" spans="1:1" s="31" customFormat="1" x14ac:dyDescent="0.2">
      <c r="A72" s="38">
        <v>0</v>
      </c>
    </row>
    <row r="73" spans="1:1" s="31" customFormat="1" x14ac:dyDescent="0.2">
      <c r="A73" s="39">
        <v>0</v>
      </c>
    </row>
    <row r="74" spans="1:1" s="31" customFormat="1" x14ac:dyDescent="0.2">
      <c r="A74" s="38">
        <v>0</v>
      </c>
    </row>
    <row r="75" spans="1:1" s="31" customFormat="1" x14ac:dyDescent="0.2">
      <c r="A75" s="39">
        <v>0</v>
      </c>
    </row>
    <row r="76" spans="1:1" s="31" customFormat="1" x14ac:dyDescent="0.2">
      <c r="A76" s="38">
        <v>0</v>
      </c>
    </row>
    <row r="77" spans="1:1" s="31" customFormat="1" x14ac:dyDescent="0.2">
      <c r="A77" s="39">
        <v>0</v>
      </c>
    </row>
    <row r="78" spans="1:1" s="31" customFormat="1" x14ac:dyDescent="0.2">
      <c r="A78" s="38">
        <v>0</v>
      </c>
    </row>
    <row r="79" spans="1:1" s="31" customFormat="1" ht="56" x14ac:dyDescent="0.2">
      <c r="A79" s="39" t="s">
        <v>509</v>
      </c>
    </row>
    <row r="80" spans="1:1" s="31" customFormat="1" x14ac:dyDescent="0.2">
      <c r="A80" s="38">
        <v>0</v>
      </c>
    </row>
    <row r="81" spans="1:1" s="31" customFormat="1" x14ac:dyDescent="0.2">
      <c r="A81" s="39">
        <v>0</v>
      </c>
    </row>
    <row r="82" spans="1:1" s="31" customFormat="1" x14ac:dyDescent="0.2">
      <c r="A82" s="38">
        <v>0</v>
      </c>
    </row>
    <row r="83" spans="1:1" s="31" customFormat="1" x14ac:dyDescent="0.2">
      <c r="A83" s="39">
        <v>0</v>
      </c>
    </row>
    <row r="84" spans="1:1" s="31" customFormat="1" x14ac:dyDescent="0.2">
      <c r="A84" s="38">
        <v>0</v>
      </c>
    </row>
    <row r="85" spans="1:1" s="31" customFormat="1" x14ac:dyDescent="0.2">
      <c r="A85" s="39">
        <v>0</v>
      </c>
    </row>
    <row r="86" spans="1:1" s="31" customFormat="1" x14ac:dyDescent="0.2">
      <c r="A86" s="35">
        <v>0</v>
      </c>
    </row>
    <row r="87" spans="1:1" s="31" customFormat="1" ht="42" x14ac:dyDescent="0.2">
      <c r="A87" s="39" t="s">
        <v>544</v>
      </c>
    </row>
    <row r="88" spans="1:1" s="31" customFormat="1" x14ac:dyDescent="0.2">
      <c r="A88" s="38">
        <v>0</v>
      </c>
    </row>
    <row r="89" spans="1:1" s="31" customFormat="1" x14ac:dyDescent="0.2">
      <c r="A89" s="39">
        <v>0</v>
      </c>
    </row>
    <row r="90" spans="1:1" s="31" customFormat="1" x14ac:dyDescent="0.2">
      <c r="A90" s="38">
        <v>0</v>
      </c>
    </row>
    <row r="91" spans="1:1" s="31" customFormat="1" x14ac:dyDescent="0.2">
      <c r="A91" s="39">
        <v>0</v>
      </c>
    </row>
    <row r="92" spans="1:1" s="31" customFormat="1" x14ac:dyDescent="0.2">
      <c r="A92" s="38">
        <v>0</v>
      </c>
    </row>
    <row r="93" spans="1:1" s="31" customFormat="1" x14ac:dyDescent="0.2">
      <c r="A93" s="39">
        <v>0</v>
      </c>
    </row>
    <row r="94" spans="1:1" s="31" customFormat="1" ht="42" x14ac:dyDescent="0.2">
      <c r="A94" s="38" t="s">
        <v>545</v>
      </c>
    </row>
    <row r="95" spans="1:1" s="31" customFormat="1" x14ac:dyDescent="0.2">
      <c r="A95" s="39">
        <v>0</v>
      </c>
    </row>
    <row r="96" spans="1:1" s="31" customFormat="1" x14ac:dyDescent="0.2">
      <c r="A96" s="38">
        <v>0</v>
      </c>
    </row>
    <row r="97" spans="1:1" s="31" customFormat="1" x14ac:dyDescent="0.2">
      <c r="A97" s="39">
        <v>0</v>
      </c>
    </row>
    <row r="98" spans="1:1" s="31" customFormat="1" x14ac:dyDescent="0.2">
      <c r="A98" s="38">
        <v>0</v>
      </c>
    </row>
    <row r="99" spans="1:1" s="31" customFormat="1" x14ac:dyDescent="0.2">
      <c r="A99" s="39">
        <v>0</v>
      </c>
    </row>
    <row r="100" spans="1:1" s="31" customFormat="1" ht="26" x14ac:dyDescent="0.2">
      <c r="A100" s="35" t="s">
        <v>546</v>
      </c>
    </row>
    <row r="101" spans="1:1" s="31" customFormat="1" x14ac:dyDescent="0.2">
      <c r="A101" s="39">
        <v>0</v>
      </c>
    </row>
    <row r="102" spans="1:1" s="31" customFormat="1" x14ac:dyDescent="0.2">
      <c r="A102" s="38">
        <v>0</v>
      </c>
    </row>
    <row r="103" spans="1:1" s="31" customFormat="1" x14ac:dyDescent="0.2">
      <c r="A103" s="39">
        <v>0</v>
      </c>
    </row>
    <row r="104" spans="1:1" s="31" customFormat="1" ht="42" x14ac:dyDescent="0.2">
      <c r="A104" s="38" t="s">
        <v>404</v>
      </c>
    </row>
    <row r="105" spans="1:1" s="31" customFormat="1" x14ac:dyDescent="0.2">
      <c r="A105" s="39">
        <v>0</v>
      </c>
    </row>
    <row r="106" spans="1:1" s="31" customFormat="1" x14ac:dyDescent="0.2">
      <c r="A106" s="38">
        <v>0</v>
      </c>
    </row>
    <row r="107" spans="1:1" s="31" customFormat="1" x14ac:dyDescent="0.2">
      <c r="A107" s="39" t="s">
        <v>325</v>
      </c>
    </row>
    <row r="108" spans="1:1" x14ac:dyDescent="0.2">
      <c r="A108" s="9"/>
    </row>
    <row r="109" spans="1:1" x14ac:dyDescent="0.2">
      <c r="A109" s="13">
        <v>0</v>
      </c>
    </row>
    <row r="110" spans="1:1" x14ac:dyDescent="0.2">
      <c r="A110" s="12">
        <v>0</v>
      </c>
    </row>
    <row r="111" spans="1:1" x14ac:dyDescent="0.2">
      <c r="A111" s="13">
        <v>0</v>
      </c>
    </row>
    <row r="112" spans="1:1" x14ac:dyDescent="0.2">
      <c r="A112" s="12">
        <v>0</v>
      </c>
    </row>
    <row r="113" spans="1:1" x14ac:dyDescent="0.2">
      <c r="A113" s="13">
        <v>0</v>
      </c>
    </row>
    <row r="114" spans="1:1" x14ac:dyDescent="0.2">
      <c r="A114" s="12">
        <v>0</v>
      </c>
    </row>
    <row r="115" spans="1:1" x14ac:dyDescent="0.2">
      <c r="A115" s="13">
        <v>0</v>
      </c>
    </row>
    <row r="116" spans="1:1" x14ac:dyDescent="0.2">
      <c r="A116" s="12">
        <v>0</v>
      </c>
    </row>
    <row r="117" spans="1:1" x14ac:dyDescent="0.2">
      <c r="A117" s="13">
        <v>0</v>
      </c>
    </row>
    <row r="118" spans="1:1" x14ac:dyDescent="0.2">
      <c r="A118" s="12">
        <v>0</v>
      </c>
    </row>
    <row r="119" spans="1:1" x14ac:dyDescent="0.2">
      <c r="A119" s="13" t="s">
        <v>540</v>
      </c>
    </row>
    <row r="120" spans="1:1" x14ac:dyDescent="0.2">
      <c r="A120" s="12">
        <v>0</v>
      </c>
    </row>
    <row r="121" spans="1:1" x14ac:dyDescent="0.2">
      <c r="A121" s="13">
        <v>0</v>
      </c>
    </row>
    <row r="122" spans="1:1" ht="43" x14ac:dyDescent="0.2">
      <c r="A122" s="12" t="s">
        <v>432</v>
      </c>
    </row>
    <row r="123" spans="1:1" x14ac:dyDescent="0.2">
      <c r="A123" s="13">
        <v>0</v>
      </c>
    </row>
    <row r="124" spans="1:1" x14ac:dyDescent="0.2">
      <c r="A124" s="12">
        <v>0</v>
      </c>
    </row>
    <row r="125" spans="1:1" x14ac:dyDescent="0.2">
      <c r="A125" s="13">
        <v>0</v>
      </c>
    </row>
    <row r="126" spans="1:1" x14ac:dyDescent="0.2">
      <c r="A126" s="12">
        <v>0</v>
      </c>
    </row>
    <row r="127" spans="1:1" x14ac:dyDescent="0.2">
      <c r="A127" s="13">
        <v>0</v>
      </c>
    </row>
    <row r="128" spans="1:1" x14ac:dyDescent="0.2">
      <c r="A128" s="12">
        <v>0</v>
      </c>
    </row>
    <row r="129" spans="1:1" x14ac:dyDescent="0.2">
      <c r="A129" s="13">
        <v>0</v>
      </c>
    </row>
    <row r="130" spans="1:1" ht="57" x14ac:dyDescent="0.2">
      <c r="A130" s="12" t="s">
        <v>547</v>
      </c>
    </row>
    <row r="131" spans="1:1" x14ac:dyDescent="0.2">
      <c r="A131" s="10">
        <v>0</v>
      </c>
    </row>
    <row r="132" spans="1:1" x14ac:dyDescent="0.2">
      <c r="A132" s="12">
        <v>0</v>
      </c>
    </row>
    <row r="133" spans="1:1" x14ac:dyDescent="0.2">
      <c r="A133" s="13">
        <v>0</v>
      </c>
    </row>
    <row r="134" spans="1:1" x14ac:dyDescent="0.2">
      <c r="A134" s="12">
        <v>0</v>
      </c>
    </row>
    <row r="135" spans="1:1" x14ac:dyDescent="0.2">
      <c r="A135" s="13">
        <v>0</v>
      </c>
    </row>
    <row r="136" spans="1:1" x14ac:dyDescent="0.2">
      <c r="A136" s="9">
        <v>0</v>
      </c>
    </row>
    <row r="137" spans="1:1" x14ac:dyDescent="0.2">
      <c r="A137" s="13">
        <v>0</v>
      </c>
    </row>
    <row r="138" spans="1:1" x14ac:dyDescent="0.2">
      <c r="A138" s="12">
        <v>0</v>
      </c>
    </row>
    <row r="139" spans="1:1" x14ac:dyDescent="0.2">
      <c r="A139" s="13">
        <v>0</v>
      </c>
    </row>
    <row r="140" spans="1:1" x14ac:dyDescent="0.2">
      <c r="A140" s="12" t="s">
        <v>462</v>
      </c>
    </row>
    <row r="141" spans="1:1" x14ac:dyDescent="0.2">
      <c r="A141" s="13">
        <v>0</v>
      </c>
    </row>
    <row r="142" spans="1:1" x14ac:dyDescent="0.2">
      <c r="A142" s="12">
        <v>0</v>
      </c>
    </row>
    <row r="143" spans="1:1" x14ac:dyDescent="0.2">
      <c r="A143" s="10">
        <v>0</v>
      </c>
    </row>
    <row r="144" spans="1:1" x14ac:dyDescent="0.2">
      <c r="A144" s="9">
        <v>0</v>
      </c>
    </row>
    <row r="145" spans="1:1" x14ac:dyDescent="0.2">
      <c r="A145" s="10">
        <v>0</v>
      </c>
    </row>
    <row r="146" spans="1:1" ht="40" x14ac:dyDescent="0.2">
      <c r="A146" s="9" t="s">
        <v>510</v>
      </c>
    </row>
    <row r="147" spans="1:1" x14ac:dyDescent="0.2">
      <c r="A147" s="13">
        <v>0</v>
      </c>
    </row>
    <row r="148" spans="1:1" x14ac:dyDescent="0.2">
      <c r="A148" s="12">
        <v>0</v>
      </c>
    </row>
    <row r="149" spans="1:1" x14ac:dyDescent="0.2">
      <c r="A149" s="13">
        <v>0</v>
      </c>
    </row>
    <row r="150" spans="1:1" x14ac:dyDescent="0.2">
      <c r="A150" s="12">
        <v>0</v>
      </c>
    </row>
    <row r="151" spans="1:1" x14ac:dyDescent="0.2">
      <c r="A151" s="13">
        <v>0</v>
      </c>
    </row>
    <row r="152" spans="1:1" x14ac:dyDescent="0.2">
      <c r="A152" s="14">
        <v>0</v>
      </c>
    </row>
  </sheetData>
  <pageMargins left="0.70000000000000007" right="0.70000000000000007" top="0.75" bottom="0.75" header="0.30000000000000004" footer="0.3000000000000000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E1E6-7E8D-47CF-AC47-3BA4A20ADDAD}">
  <dimension ref="A3:B16"/>
  <sheetViews>
    <sheetView topLeftCell="A23" workbookViewId="0">
      <selection activeCell="D16" sqref="D16"/>
    </sheetView>
  </sheetViews>
  <sheetFormatPr baseColWidth="10" defaultColWidth="10.83203125" defaultRowHeight="15" x14ac:dyDescent="0.2"/>
  <cols>
    <col min="1" max="1" width="76.1640625" bestFit="1" customWidth="1"/>
    <col min="2" max="2" width="7.1640625" bestFit="1" customWidth="1"/>
    <col min="3" max="3" width="11.83203125" bestFit="1" customWidth="1"/>
    <col min="4" max="6" width="6.1640625" bestFit="1" customWidth="1"/>
    <col min="7" max="7" width="11.5" bestFit="1" customWidth="1"/>
  </cols>
  <sheetData>
    <row r="3" spans="1:2" x14ac:dyDescent="0.2">
      <c r="A3" s="15" t="s">
        <v>576</v>
      </c>
    </row>
    <row r="4" spans="1:2" x14ac:dyDescent="0.2">
      <c r="A4" s="15" t="s">
        <v>60</v>
      </c>
      <c r="B4" t="s">
        <v>485</v>
      </c>
    </row>
    <row r="5" spans="1:2" x14ac:dyDescent="0.2">
      <c r="A5" t="s">
        <v>623</v>
      </c>
      <c r="B5" s="26">
        <v>0.23809523809523808</v>
      </c>
    </row>
    <row r="6" spans="1:2" x14ac:dyDescent="0.2">
      <c r="A6" t="s">
        <v>622</v>
      </c>
      <c r="B6" s="26">
        <v>4.7619047619047616E-2</v>
      </c>
    </row>
    <row r="7" spans="1:2" x14ac:dyDescent="0.2">
      <c r="A7" t="s">
        <v>625</v>
      </c>
      <c r="B7" s="26">
        <v>9.5238095238095233E-2</v>
      </c>
    </row>
    <row r="8" spans="1:2" x14ac:dyDescent="0.2">
      <c r="A8" t="s">
        <v>627</v>
      </c>
      <c r="B8" s="26">
        <v>4.7619047619047616E-2</v>
      </c>
    </row>
    <row r="9" spans="1:2" x14ac:dyDescent="0.2">
      <c r="A9" t="s">
        <v>619</v>
      </c>
      <c r="B9" s="26">
        <v>4.7619047619047616E-2</v>
      </c>
    </row>
    <row r="10" spans="1:2" x14ac:dyDescent="0.2">
      <c r="A10" t="s">
        <v>626</v>
      </c>
      <c r="B10" s="26">
        <v>4.7619047619047616E-2</v>
      </c>
    </row>
    <row r="11" spans="1:2" x14ac:dyDescent="0.2">
      <c r="A11" t="s">
        <v>624</v>
      </c>
      <c r="B11" s="26">
        <v>0.23809523809523808</v>
      </c>
    </row>
    <row r="12" spans="1:2" x14ac:dyDescent="0.2">
      <c r="A12" t="s">
        <v>620</v>
      </c>
      <c r="B12" s="26">
        <v>4.7619047619047616E-2</v>
      </c>
    </row>
    <row r="13" spans="1:2" x14ac:dyDescent="0.2">
      <c r="A13" t="s">
        <v>618</v>
      </c>
      <c r="B13" s="26">
        <v>4.7619047619047616E-2</v>
      </c>
    </row>
    <row r="14" spans="1:2" x14ac:dyDescent="0.2">
      <c r="A14" t="s">
        <v>621</v>
      </c>
      <c r="B14" s="26">
        <v>4.7619047619047616E-2</v>
      </c>
    </row>
    <row r="15" spans="1:2" x14ac:dyDescent="0.2">
      <c r="A15" t="s">
        <v>617</v>
      </c>
      <c r="B15" s="26">
        <v>9.5238095238095233E-2</v>
      </c>
    </row>
    <row r="16" spans="1:2" x14ac:dyDescent="0.2">
      <c r="A16" t="s">
        <v>6</v>
      </c>
      <c r="B16" s="26">
        <v>1</v>
      </c>
    </row>
  </sheetData>
  <pageMargins left="0.7" right="0.7" top="0.75" bottom="0.75" header="0.3" footer="0.3"/>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71611-44B8-4C3B-9E73-14CC451D6C1D}">
  <dimension ref="A1:G152"/>
  <sheetViews>
    <sheetView zoomScale="90" zoomScaleNormal="90" workbookViewId="0">
      <selection activeCell="G27" sqref="G27"/>
    </sheetView>
  </sheetViews>
  <sheetFormatPr baseColWidth="10" defaultColWidth="11.83203125" defaultRowHeight="15" x14ac:dyDescent="0.2"/>
  <cols>
    <col min="1" max="1" width="34.5" bestFit="1" customWidth="1"/>
    <col min="2" max="2" width="11.83203125" customWidth="1"/>
    <col min="3" max="3" width="56" customWidth="1"/>
    <col min="4" max="4" width="11.83203125" customWidth="1"/>
    <col min="6" max="6" width="38.6640625" customWidth="1"/>
  </cols>
  <sheetData>
    <row r="1" spans="1:7" s="31" customFormat="1" ht="39" x14ac:dyDescent="0.2">
      <c r="A1" s="34" t="s">
        <v>60</v>
      </c>
      <c r="C1" s="34" t="s">
        <v>60</v>
      </c>
      <c r="D1" s="41" t="s">
        <v>485</v>
      </c>
      <c r="F1" s="34" t="str">
        <f>$A1</f>
        <v>Y a-t-il un élément ou un commentaire supplémentaire que vous souhaiteriez apporter ?</v>
      </c>
      <c r="G1" s="41" t="s">
        <v>575</v>
      </c>
    </row>
    <row r="2" spans="1:7" s="31" customFormat="1" ht="32" x14ac:dyDescent="0.2">
      <c r="A2" s="38">
        <v>0</v>
      </c>
      <c r="C2" s="31" t="s">
        <v>486</v>
      </c>
      <c r="D2" s="31">
        <f>COUNTIF($A$2:$A$152,"*Présence de réticences professionnelles à l'ostéopathie*")</f>
        <v>2</v>
      </c>
      <c r="F2" s="31" t="str">
        <f t="shared" ref="F2" si="0">C2&amp;" "&amp;"(n="&amp;D2&amp;")"</f>
        <v>Présence de réticences professionnelles à l'ostéopathie (n=2)</v>
      </c>
      <c r="G2" s="32">
        <f>D2/SUM(D$2:D$12)</f>
        <v>9.5238095238095233E-2</v>
      </c>
    </row>
    <row r="3" spans="1:7" s="31" customFormat="1" ht="16" x14ac:dyDescent="0.2">
      <c r="A3" s="39">
        <v>0</v>
      </c>
      <c r="C3" s="31" t="s">
        <v>487</v>
      </c>
      <c r="D3" s="31">
        <f>COUNTIF($A$2:$A$152,"*Intérêt scientifique*")</f>
        <v>1</v>
      </c>
      <c r="F3" s="31" t="str">
        <f t="shared" ref="F3:F12" si="1">C3&amp;" "&amp;"(n="&amp;D3&amp;")"</f>
        <v>Intérêt scientifique (n=1)</v>
      </c>
      <c r="G3" s="32">
        <f t="shared" ref="G3:G12" si="2">D3/SUM(D$2:D$12)</f>
        <v>4.7619047619047616E-2</v>
      </c>
    </row>
    <row r="4" spans="1:7" s="31" customFormat="1" ht="16" x14ac:dyDescent="0.2">
      <c r="A4" s="38">
        <v>0</v>
      </c>
      <c r="C4" s="31" t="s">
        <v>488</v>
      </c>
      <c r="D4" s="31">
        <f>COUNTIF($A$2:$A$152,"*Etude intéressante*")</f>
        <v>1</v>
      </c>
      <c r="F4" s="31" t="str">
        <f t="shared" si="1"/>
        <v>Etude intéressante (n=1)</v>
      </c>
      <c r="G4" s="32">
        <f t="shared" si="2"/>
        <v>4.7619047619047616E-2</v>
      </c>
    </row>
    <row r="5" spans="1:7" s="31" customFormat="1" ht="16" x14ac:dyDescent="0.2">
      <c r="A5" s="39">
        <v>0</v>
      </c>
      <c r="C5" s="31" t="s">
        <v>193</v>
      </c>
      <c r="D5" s="31">
        <f>COUNTIF($A$2:$A$152,"*Insuffisance de preuves scientifiques*")</f>
        <v>1</v>
      </c>
      <c r="F5" s="31" t="str">
        <f t="shared" si="1"/>
        <v>Insuffisance de preuves scientifiques (n=1)</v>
      </c>
      <c r="G5" s="32">
        <f t="shared" si="2"/>
        <v>4.7619047619047616E-2</v>
      </c>
    </row>
    <row r="6" spans="1:7" s="31" customFormat="1" ht="32" x14ac:dyDescent="0.2">
      <c r="A6" s="38">
        <v>0</v>
      </c>
      <c r="C6" s="31" t="s">
        <v>489</v>
      </c>
      <c r="D6" s="31">
        <f>COUNTIF($A$2:$A$152,"*Non recommandation institutionnelle de l'ostéopathie*")</f>
        <v>1</v>
      </c>
      <c r="F6" s="31" t="str">
        <f t="shared" si="1"/>
        <v>Non recommandation institutionnelle de l'ostéopathie (n=1)</v>
      </c>
      <c r="G6" s="32">
        <f t="shared" si="2"/>
        <v>4.7619047619047616E-2</v>
      </c>
    </row>
    <row r="7" spans="1:7" s="31" customFormat="1" ht="16" x14ac:dyDescent="0.2">
      <c r="A7" s="39">
        <v>0</v>
      </c>
      <c r="C7" s="31" t="s">
        <v>490</v>
      </c>
      <c r="D7" s="31">
        <f>COUNTIF($A$2:$A$152,"*Convictions personnelles*")</f>
        <v>1</v>
      </c>
      <c r="F7" s="31" t="str">
        <f t="shared" si="1"/>
        <v>Convictions personnelles (n=1)</v>
      </c>
      <c r="G7" s="32">
        <f t="shared" si="2"/>
        <v>4.7619047619047616E-2</v>
      </c>
    </row>
    <row r="8" spans="1:7" s="31" customFormat="1" ht="16" x14ac:dyDescent="0.2">
      <c r="A8" s="38">
        <v>0</v>
      </c>
      <c r="C8" s="31" t="s">
        <v>491</v>
      </c>
      <c r="D8" s="31">
        <f>COUNTIF($A$2:$A$152,"*Collaboration interprofessionnelle*")</f>
        <v>5</v>
      </c>
      <c r="F8" s="31" t="str">
        <f t="shared" si="1"/>
        <v>Collaboration interprofessionnelle (n=5)</v>
      </c>
      <c r="G8" s="32">
        <f t="shared" si="2"/>
        <v>0.23809523809523808</v>
      </c>
    </row>
    <row r="9" spans="1:7" s="31" customFormat="1" ht="16" x14ac:dyDescent="0.2">
      <c r="A9" s="39">
        <v>0</v>
      </c>
      <c r="C9" s="31" t="s">
        <v>492</v>
      </c>
      <c r="D9" s="31">
        <f>COUNTIF($A$2:$A$152,"*Favorable à l'intégration de l'ostéopathie*")</f>
        <v>5</v>
      </c>
      <c r="F9" s="31" t="str">
        <f t="shared" si="1"/>
        <v>Favorable à l'intégration de l'ostéopathie   (n=5)</v>
      </c>
      <c r="G9" s="32">
        <f t="shared" si="2"/>
        <v>0.23809523809523808</v>
      </c>
    </row>
    <row r="10" spans="1:7" s="31" customFormat="1" ht="16" x14ac:dyDescent="0.2">
      <c r="A10" s="38">
        <v>0</v>
      </c>
      <c r="C10" s="31" t="s">
        <v>289</v>
      </c>
      <c r="D10" s="31">
        <f>COUNTIF($A$2:$A$152,"*Coût pour les patientes*")</f>
        <v>2</v>
      </c>
      <c r="F10" s="31" t="str">
        <f t="shared" si="1"/>
        <v>Coût pour les patientes  (n=2)</v>
      </c>
      <c r="G10" s="32">
        <f t="shared" si="2"/>
        <v>9.5238095238095233E-2</v>
      </c>
    </row>
    <row r="11" spans="1:7" s="31" customFormat="1" ht="16" x14ac:dyDescent="0.2">
      <c r="A11" s="39">
        <v>0</v>
      </c>
      <c r="C11" s="31" t="s">
        <v>493</v>
      </c>
      <c r="D11" s="31">
        <f>COUNTIF($A$2:$A$152,"*Expérience personnelle positive*")</f>
        <v>1</v>
      </c>
      <c r="F11" s="31" t="str">
        <f t="shared" si="1"/>
        <v>Expérience personnelle positive (n=1)</v>
      </c>
      <c r="G11" s="32">
        <f t="shared" si="2"/>
        <v>4.7619047619047616E-2</v>
      </c>
    </row>
    <row r="12" spans="1:7" s="31" customFormat="1" ht="16" x14ac:dyDescent="0.2">
      <c r="A12" s="38">
        <v>0</v>
      </c>
      <c r="C12" s="31" t="s">
        <v>494</v>
      </c>
      <c r="D12" s="31">
        <f>COUNTIF($A$2:$A$152,"*Difficulté d'accès à des professionnels*")</f>
        <v>1</v>
      </c>
      <c r="F12" s="31" t="str">
        <f t="shared" si="1"/>
        <v>Difficulté d'accès à des professionnels (n=1)</v>
      </c>
      <c r="G12" s="32">
        <f t="shared" si="2"/>
        <v>4.7619047619047616E-2</v>
      </c>
    </row>
    <row r="13" spans="1:7" s="31" customFormat="1" x14ac:dyDescent="0.2">
      <c r="A13" s="39">
        <v>0</v>
      </c>
    </row>
    <row r="14" spans="1:7" s="31" customFormat="1" ht="39" x14ac:dyDescent="0.2">
      <c r="A14" s="35" t="s">
        <v>495</v>
      </c>
      <c r="D14" s="31">
        <f>SUM(D2:D12)</f>
        <v>21</v>
      </c>
      <c r="G14" s="32">
        <f>SUM(G2:G12)</f>
        <v>1</v>
      </c>
    </row>
    <row r="15" spans="1:7" s="31" customFormat="1" x14ac:dyDescent="0.2">
      <c r="A15" s="39">
        <v>0</v>
      </c>
    </row>
    <row r="16" spans="1:7" s="31" customFormat="1" x14ac:dyDescent="0.2">
      <c r="A16" s="38">
        <v>0</v>
      </c>
    </row>
    <row r="17" spans="1:1" s="31" customFormat="1" x14ac:dyDescent="0.2">
      <c r="A17" s="39">
        <v>0</v>
      </c>
    </row>
    <row r="18" spans="1:1" s="31" customFormat="1" x14ac:dyDescent="0.2">
      <c r="A18" s="38">
        <v>0</v>
      </c>
    </row>
    <row r="19" spans="1:1" s="31" customFormat="1" x14ac:dyDescent="0.2">
      <c r="A19" s="39">
        <v>0</v>
      </c>
    </row>
    <row r="20" spans="1:1" s="31" customFormat="1" x14ac:dyDescent="0.2">
      <c r="A20" s="38">
        <v>0</v>
      </c>
    </row>
    <row r="21" spans="1:1" s="31" customFormat="1" x14ac:dyDescent="0.2">
      <c r="A21" s="39">
        <v>0</v>
      </c>
    </row>
    <row r="22" spans="1:1" s="31" customFormat="1" x14ac:dyDescent="0.2">
      <c r="A22" s="38">
        <v>0</v>
      </c>
    </row>
    <row r="23" spans="1:1" s="31" customFormat="1" x14ac:dyDescent="0.2">
      <c r="A23" s="39">
        <v>0</v>
      </c>
    </row>
    <row r="24" spans="1:1" s="31" customFormat="1" x14ac:dyDescent="0.2">
      <c r="A24" s="38">
        <v>0</v>
      </c>
    </row>
    <row r="25" spans="1:1" s="31" customFormat="1" x14ac:dyDescent="0.2">
      <c r="A25" s="39">
        <v>0</v>
      </c>
    </row>
    <row r="26" spans="1:1" s="31" customFormat="1" x14ac:dyDescent="0.2">
      <c r="A26" s="38">
        <v>0</v>
      </c>
    </row>
    <row r="27" spans="1:1" s="31" customFormat="1" ht="65" x14ac:dyDescent="0.2">
      <c r="A27" s="36" t="s">
        <v>541</v>
      </c>
    </row>
    <row r="28" spans="1:1" s="31" customFormat="1" ht="26" x14ac:dyDescent="0.2">
      <c r="A28" s="35" t="s">
        <v>415</v>
      </c>
    </row>
    <row r="29" spans="1:1" s="31" customFormat="1" x14ac:dyDescent="0.2">
      <c r="A29" s="39">
        <v>0</v>
      </c>
    </row>
    <row r="30" spans="1:1" s="31" customFormat="1" x14ac:dyDescent="0.2">
      <c r="A30" s="38">
        <v>0</v>
      </c>
    </row>
    <row r="31" spans="1:1" s="31" customFormat="1" x14ac:dyDescent="0.2">
      <c r="A31" s="39">
        <v>0</v>
      </c>
    </row>
    <row r="32" spans="1:1" s="31" customFormat="1" x14ac:dyDescent="0.2">
      <c r="A32" s="38">
        <v>0</v>
      </c>
    </row>
    <row r="33" spans="1:1" s="31" customFormat="1" x14ac:dyDescent="0.2">
      <c r="A33" s="39">
        <v>0</v>
      </c>
    </row>
    <row r="34" spans="1:1" s="31" customFormat="1" x14ac:dyDescent="0.2">
      <c r="A34" s="38">
        <v>0</v>
      </c>
    </row>
    <row r="35" spans="1:1" s="31" customFormat="1" x14ac:dyDescent="0.2">
      <c r="A35" s="39">
        <v>0</v>
      </c>
    </row>
    <row r="36" spans="1:1" s="31" customFormat="1" x14ac:dyDescent="0.2">
      <c r="A36" s="38">
        <v>0</v>
      </c>
    </row>
    <row r="37" spans="1:1" s="31" customFormat="1" x14ac:dyDescent="0.2">
      <c r="A37" s="39">
        <v>0</v>
      </c>
    </row>
    <row r="38" spans="1:1" s="31" customFormat="1" x14ac:dyDescent="0.2">
      <c r="A38" s="38">
        <v>0</v>
      </c>
    </row>
    <row r="39" spans="1:1" s="31" customFormat="1" x14ac:dyDescent="0.2">
      <c r="A39" s="39">
        <v>0</v>
      </c>
    </row>
    <row r="40" spans="1:1" s="31" customFormat="1" x14ac:dyDescent="0.2">
      <c r="A40" s="38">
        <v>0</v>
      </c>
    </row>
    <row r="41" spans="1:1" s="31" customFormat="1" x14ac:dyDescent="0.2">
      <c r="A41" s="39">
        <v>0</v>
      </c>
    </row>
    <row r="42" spans="1:1" s="31" customFormat="1" x14ac:dyDescent="0.2">
      <c r="A42" s="38">
        <v>0</v>
      </c>
    </row>
    <row r="43" spans="1:1" s="31" customFormat="1" x14ac:dyDescent="0.2">
      <c r="A43" s="39">
        <v>0</v>
      </c>
    </row>
    <row r="44" spans="1:1" s="31" customFormat="1" x14ac:dyDescent="0.2">
      <c r="A44" s="38">
        <v>0</v>
      </c>
    </row>
    <row r="45" spans="1:1" s="31" customFormat="1" x14ac:dyDescent="0.2">
      <c r="A45" s="39">
        <v>0</v>
      </c>
    </row>
    <row r="46" spans="1:1" s="31" customFormat="1" x14ac:dyDescent="0.2">
      <c r="A46" s="38">
        <v>0</v>
      </c>
    </row>
    <row r="47" spans="1:1" s="31" customFormat="1" x14ac:dyDescent="0.2">
      <c r="A47" s="39">
        <v>0</v>
      </c>
    </row>
    <row r="48" spans="1:1" s="31" customFormat="1" x14ac:dyDescent="0.2">
      <c r="A48" s="38">
        <v>0</v>
      </c>
    </row>
    <row r="49" spans="1:1" s="31" customFormat="1" x14ac:dyDescent="0.2">
      <c r="A49" s="39">
        <v>0</v>
      </c>
    </row>
    <row r="50" spans="1:1" s="31" customFormat="1" x14ac:dyDescent="0.2">
      <c r="A50" s="35">
        <v>0</v>
      </c>
    </row>
    <row r="51" spans="1:1" s="31" customFormat="1" x14ac:dyDescent="0.2">
      <c r="A51" s="39">
        <v>0</v>
      </c>
    </row>
    <row r="52" spans="1:1" s="31" customFormat="1" x14ac:dyDescent="0.2">
      <c r="A52" s="38">
        <v>0</v>
      </c>
    </row>
    <row r="53" spans="1:1" s="31" customFormat="1" x14ac:dyDescent="0.2">
      <c r="A53" s="39">
        <v>0</v>
      </c>
    </row>
    <row r="54" spans="1:1" s="31" customFormat="1" x14ac:dyDescent="0.2">
      <c r="A54" s="38">
        <v>0</v>
      </c>
    </row>
    <row r="55" spans="1:1" s="31" customFormat="1" x14ac:dyDescent="0.2">
      <c r="A55" s="39">
        <v>0</v>
      </c>
    </row>
    <row r="56" spans="1:1" s="31" customFormat="1" x14ac:dyDescent="0.2">
      <c r="A56" s="35" t="s">
        <v>289</v>
      </c>
    </row>
    <row r="57" spans="1:1" s="31" customFormat="1" x14ac:dyDescent="0.2">
      <c r="A57" s="39">
        <v>0</v>
      </c>
    </row>
    <row r="58" spans="1:1" s="31" customFormat="1" x14ac:dyDescent="0.2">
      <c r="A58" s="38">
        <v>0</v>
      </c>
    </row>
    <row r="59" spans="1:1" s="31" customFormat="1" x14ac:dyDescent="0.2">
      <c r="A59" s="39">
        <v>0</v>
      </c>
    </row>
    <row r="60" spans="1:1" s="31" customFormat="1" x14ac:dyDescent="0.2">
      <c r="A60" s="38">
        <v>0</v>
      </c>
    </row>
    <row r="61" spans="1:1" s="31" customFormat="1" x14ac:dyDescent="0.2">
      <c r="A61" s="36">
        <v>0</v>
      </c>
    </row>
    <row r="62" spans="1:1" s="31" customFormat="1" x14ac:dyDescent="0.2">
      <c r="A62" s="38">
        <v>0</v>
      </c>
    </row>
    <row r="63" spans="1:1" s="31" customFormat="1" x14ac:dyDescent="0.2">
      <c r="A63" s="39">
        <v>0</v>
      </c>
    </row>
    <row r="64" spans="1:1" s="31" customFormat="1" x14ac:dyDescent="0.2">
      <c r="A64" s="38">
        <v>0</v>
      </c>
    </row>
    <row r="65" spans="1:1" s="31" customFormat="1" x14ac:dyDescent="0.2">
      <c r="A65" s="39">
        <v>0</v>
      </c>
    </row>
    <row r="66" spans="1:1" s="31" customFormat="1" x14ac:dyDescent="0.2">
      <c r="A66" s="38">
        <v>0</v>
      </c>
    </row>
    <row r="67" spans="1:1" s="31" customFormat="1" x14ac:dyDescent="0.2">
      <c r="A67" s="39">
        <v>0</v>
      </c>
    </row>
    <row r="68" spans="1:1" s="31" customFormat="1" x14ac:dyDescent="0.2">
      <c r="A68" s="38">
        <v>0</v>
      </c>
    </row>
    <row r="69" spans="1:1" s="31" customFormat="1" x14ac:dyDescent="0.2">
      <c r="A69" s="39">
        <v>0</v>
      </c>
    </row>
    <row r="70" spans="1:1" s="31" customFormat="1" ht="39" x14ac:dyDescent="0.2">
      <c r="A70" s="35" t="s">
        <v>319</v>
      </c>
    </row>
    <row r="71" spans="1:1" s="31" customFormat="1" x14ac:dyDescent="0.2">
      <c r="A71" s="39">
        <v>0</v>
      </c>
    </row>
    <row r="72" spans="1:1" s="31" customFormat="1" x14ac:dyDescent="0.2">
      <c r="A72" s="38">
        <v>0</v>
      </c>
    </row>
    <row r="73" spans="1:1" s="31" customFormat="1" x14ac:dyDescent="0.2">
      <c r="A73" s="39">
        <v>0</v>
      </c>
    </row>
    <row r="74" spans="1:1" s="31" customFormat="1" x14ac:dyDescent="0.2">
      <c r="A74" s="38">
        <v>0</v>
      </c>
    </row>
    <row r="75" spans="1:1" s="31" customFormat="1" x14ac:dyDescent="0.2">
      <c r="A75" s="39">
        <v>0</v>
      </c>
    </row>
    <row r="76" spans="1:1" s="31" customFormat="1" x14ac:dyDescent="0.2">
      <c r="A76" s="38">
        <v>0</v>
      </c>
    </row>
    <row r="77" spans="1:1" s="31" customFormat="1" x14ac:dyDescent="0.2">
      <c r="A77" s="39">
        <v>0</v>
      </c>
    </row>
    <row r="78" spans="1:1" s="31" customFormat="1" x14ac:dyDescent="0.2">
      <c r="A78" s="38">
        <v>0</v>
      </c>
    </row>
    <row r="79" spans="1:1" s="31" customFormat="1" x14ac:dyDescent="0.2">
      <c r="A79" s="39">
        <v>0</v>
      </c>
    </row>
    <row r="80" spans="1:1" s="31" customFormat="1" x14ac:dyDescent="0.2">
      <c r="A80" s="38">
        <v>0</v>
      </c>
    </row>
    <row r="81" spans="1:1" s="31" customFormat="1" x14ac:dyDescent="0.2">
      <c r="A81" s="39">
        <v>0</v>
      </c>
    </row>
    <row r="82" spans="1:1" s="31" customFormat="1" x14ac:dyDescent="0.2">
      <c r="A82" s="38">
        <v>0</v>
      </c>
    </row>
    <row r="83" spans="1:1" s="31" customFormat="1" x14ac:dyDescent="0.2">
      <c r="A83" s="39">
        <v>0</v>
      </c>
    </row>
    <row r="84" spans="1:1" s="31" customFormat="1" x14ac:dyDescent="0.2">
      <c r="A84" s="38">
        <v>0</v>
      </c>
    </row>
    <row r="85" spans="1:1" s="31" customFormat="1" x14ac:dyDescent="0.2">
      <c r="A85" s="39">
        <v>0</v>
      </c>
    </row>
    <row r="86" spans="1:1" s="31" customFormat="1" x14ac:dyDescent="0.2">
      <c r="A86" s="35">
        <v>0</v>
      </c>
    </row>
    <row r="87" spans="1:1" s="31" customFormat="1" x14ac:dyDescent="0.2">
      <c r="A87" s="39">
        <v>0</v>
      </c>
    </row>
    <row r="88" spans="1:1" s="31" customFormat="1" x14ac:dyDescent="0.2">
      <c r="A88" s="38">
        <v>0</v>
      </c>
    </row>
    <row r="89" spans="1:1" s="31" customFormat="1" x14ac:dyDescent="0.2">
      <c r="A89" s="39">
        <v>0</v>
      </c>
    </row>
    <row r="90" spans="1:1" s="31" customFormat="1" x14ac:dyDescent="0.2">
      <c r="A90" s="38">
        <v>0</v>
      </c>
    </row>
    <row r="91" spans="1:1" s="31" customFormat="1" x14ac:dyDescent="0.2">
      <c r="A91" s="39">
        <v>0</v>
      </c>
    </row>
    <row r="92" spans="1:1" s="31" customFormat="1" x14ac:dyDescent="0.2">
      <c r="A92" s="38">
        <v>0</v>
      </c>
    </row>
    <row r="93" spans="1:1" s="31" customFormat="1" x14ac:dyDescent="0.2">
      <c r="A93" s="39">
        <v>0</v>
      </c>
    </row>
    <row r="94" spans="1:1" s="31" customFormat="1" x14ac:dyDescent="0.2">
      <c r="A94" s="38">
        <v>0</v>
      </c>
    </row>
    <row r="95" spans="1:1" s="31" customFormat="1" x14ac:dyDescent="0.2">
      <c r="A95" s="39">
        <v>0</v>
      </c>
    </row>
    <row r="96" spans="1:1" s="31" customFormat="1" x14ac:dyDescent="0.2">
      <c r="A96" s="38">
        <v>0</v>
      </c>
    </row>
    <row r="97" spans="1:1" s="31" customFormat="1" x14ac:dyDescent="0.2">
      <c r="A97" s="39">
        <v>0</v>
      </c>
    </row>
    <row r="98" spans="1:1" s="31" customFormat="1" x14ac:dyDescent="0.2">
      <c r="A98" s="38">
        <v>0</v>
      </c>
    </row>
    <row r="99" spans="1:1" s="31" customFormat="1" x14ac:dyDescent="0.2">
      <c r="A99" s="39">
        <v>0</v>
      </c>
    </row>
    <row r="100" spans="1:1" s="31" customFormat="1" x14ac:dyDescent="0.2">
      <c r="A100" s="35">
        <v>0</v>
      </c>
    </row>
    <row r="101" spans="1:1" s="31" customFormat="1" x14ac:dyDescent="0.2">
      <c r="A101" s="39">
        <v>0</v>
      </c>
    </row>
    <row r="102" spans="1:1" s="31" customFormat="1" x14ac:dyDescent="0.2">
      <c r="A102" s="38">
        <v>0</v>
      </c>
    </row>
    <row r="103" spans="1:1" s="31" customFormat="1" x14ac:dyDescent="0.2">
      <c r="A103" s="39">
        <v>0</v>
      </c>
    </row>
    <row r="104" spans="1:1" s="31" customFormat="1" x14ac:dyDescent="0.2">
      <c r="A104" s="38">
        <v>0</v>
      </c>
    </row>
    <row r="105" spans="1:1" s="31" customFormat="1" x14ac:dyDescent="0.2">
      <c r="A105" s="39">
        <v>0</v>
      </c>
    </row>
    <row r="106" spans="1:1" s="31" customFormat="1" x14ac:dyDescent="0.2">
      <c r="A106" s="38">
        <v>0</v>
      </c>
    </row>
    <row r="107" spans="1:1" s="31" customFormat="1" x14ac:dyDescent="0.2">
      <c r="A107" s="39">
        <v>0</v>
      </c>
    </row>
    <row r="108" spans="1:1" s="31" customFormat="1" ht="26" x14ac:dyDescent="0.2">
      <c r="A108" s="35" t="s">
        <v>415</v>
      </c>
    </row>
    <row r="109" spans="1:1" s="31" customFormat="1" x14ac:dyDescent="0.2">
      <c r="A109" s="39">
        <v>0</v>
      </c>
    </row>
    <row r="110" spans="1:1" s="31" customFormat="1" x14ac:dyDescent="0.2">
      <c r="A110" s="38">
        <v>0</v>
      </c>
    </row>
    <row r="111" spans="1:1" s="31" customFormat="1" x14ac:dyDescent="0.2">
      <c r="A111" s="39">
        <v>0</v>
      </c>
    </row>
    <row r="112" spans="1:1" s="31" customFormat="1" x14ac:dyDescent="0.2">
      <c r="A112" s="38">
        <v>0</v>
      </c>
    </row>
    <row r="113" spans="1:1" s="31" customFormat="1" x14ac:dyDescent="0.2">
      <c r="A113" s="39">
        <v>0</v>
      </c>
    </row>
    <row r="114" spans="1:1" s="31" customFormat="1" x14ac:dyDescent="0.2">
      <c r="A114" s="38">
        <v>0</v>
      </c>
    </row>
    <row r="115" spans="1:1" s="31" customFormat="1" x14ac:dyDescent="0.2">
      <c r="A115" s="39">
        <v>0</v>
      </c>
    </row>
    <row r="116" spans="1:1" s="31" customFormat="1" x14ac:dyDescent="0.2">
      <c r="A116" s="38">
        <v>0</v>
      </c>
    </row>
    <row r="117" spans="1:1" s="31" customFormat="1" x14ac:dyDescent="0.2">
      <c r="A117" s="39">
        <v>0</v>
      </c>
    </row>
    <row r="118" spans="1:1" s="31" customFormat="1" x14ac:dyDescent="0.2">
      <c r="A118" s="38">
        <v>0</v>
      </c>
    </row>
    <row r="119" spans="1:1" s="31" customFormat="1" x14ac:dyDescent="0.2">
      <c r="A119" s="39">
        <v>0</v>
      </c>
    </row>
    <row r="120" spans="1:1" s="31" customFormat="1" x14ac:dyDescent="0.2">
      <c r="A120" s="38">
        <v>0</v>
      </c>
    </row>
    <row r="121" spans="1:1" s="31" customFormat="1" x14ac:dyDescent="0.2">
      <c r="A121" s="39">
        <v>0</v>
      </c>
    </row>
    <row r="122" spans="1:1" s="31" customFormat="1" x14ac:dyDescent="0.2">
      <c r="A122" s="38">
        <v>0</v>
      </c>
    </row>
    <row r="123" spans="1:1" s="31" customFormat="1" x14ac:dyDescent="0.2">
      <c r="A123" s="39">
        <v>0</v>
      </c>
    </row>
    <row r="124" spans="1:1" s="31" customFormat="1" x14ac:dyDescent="0.2">
      <c r="A124" s="38">
        <v>0</v>
      </c>
    </row>
    <row r="125" spans="1:1" s="31" customFormat="1" x14ac:dyDescent="0.2">
      <c r="A125" s="39">
        <v>0</v>
      </c>
    </row>
    <row r="126" spans="1:1" s="31" customFormat="1" x14ac:dyDescent="0.2">
      <c r="A126" s="38">
        <v>0</v>
      </c>
    </row>
    <row r="127" spans="1:1" s="31" customFormat="1" x14ac:dyDescent="0.2">
      <c r="A127" s="39">
        <v>0</v>
      </c>
    </row>
    <row r="128" spans="1:1" s="31" customFormat="1" x14ac:dyDescent="0.2">
      <c r="A128" s="38">
        <v>0</v>
      </c>
    </row>
    <row r="129" spans="1:1" s="31" customFormat="1" x14ac:dyDescent="0.2">
      <c r="A129" s="39">
        <v>0</v>
      </c>
    </row>
    <row r="130" spans="1:1" s="31" customFormat="1" x14ac:dyDescent="0.2">
      <c r="A130" s="38">
        <v>0</v>
      </c>
    </row>
    <row r="131" spans="1:1" s="31" customFormat="1" x14ac:dyDescent="0.2">
      <c r="A131" s="36">
        <v>0</v>
      </c>
    </row>
    <row r="132" spans="1:1" s="31" customFormat="1" x14ac:dyDescent="0.2">
      <c r="A132" s="38">
        <v>0</v>
      </c>
    </row>
    <row r="133" spans="1:1" s="31" customFormat="1" x14ac:dyDescent="0.2">
      <c r="A133" s="39">
        <v>0</v>
      </c>
    </row>
    <row r="134" spans="1:1" s="31" customFormat="1" x14ac:dyDescent="0.2">
      <c r="A134" s="38">
        <v>0</v>
      </c>
    </row>
    <row r="135" spans="1:1" s="31" customFormat="1" x14ac:dyDescent="0.2">
      <c r="A135" s="39">
        <v>0</v>
      </c>
    </row>
    <row r="136" spans="1:1" s="31" customFormat="1" ht="26" x14ac:dyDescent="0.2">
      <c r="A136" s="35" t="s">
        <v>415</v>
      </c>
    </row>
    <row r="137" spans="1:1" s="31" customFormat="1" x14ac:dyDescent="0.2">
      <c r="A137" s="39">
        <v>0</v>
      </c>
    </row>
    <row r="138" spans="1:1" s="31" customFormat="1" x14ac:dyDescent="0.2">
      <c r="A138" s="38">
        <v>0</v>
      </c>
    </row>
    <row r="139" spans="1:1" s="31" customFormat="1" x14ac:dyDescent="0.2">
      <c r="A139" s="39">
        <v>0</v>
      </c>
    </row>
    <row r="140" spans="1:1" s="31" customFormat="1" x14ac:dyDescent="0.2">
      <c r="A140" s="38">
        <v>0</v>
      </c>
    </row>
    <row r="141" spans="1:1" s="31" customFormat="1" x14ac:dyDescent="0.2">
      <c r="A141" s="39">
        <v>0</v>
      </c>
    </row>
    <row r="142" spans="1:1" s="31" customFormat="1" x14ac:dyDescent="0.2">
      <c r="A142" s="38">
        <v>0</v>
      </c>
    </row>
    <row r="143" spans="1:1" s="31" customFormat="1" x14ac:dyDescent="0.2">
      <c r="A143" s="36">
        <v>0</v>
      </c>
    </row>
    <row r="144" spans="1:1" s="31" customFormat="1" ht="26" x14ac:dyDescent="0.2">
      <c r="A144" s="35" t="s">
        <v>496</v>
      </c>
    </row>
    <row r="145" spans="1:1" s="31" customFormat="1" x14ac:dyDescent="0.2">
      <c r="A145" s="36">
        <v>0</v>
      </c>
    </row>
    <row r="146" spans="1:1" s="31" customFormat="1" ht="26" x14ac:dyDescent="0.2">
      <c r="A146" s="35" t="s">
        <v>542</v>
      </c>
    </row>
    <row r="147" spans="1:1" s="31" customFormat="1" x14ac:dyDescent="0.2">
      <c r="A147" s="39">
        <v>0</v>
      </c>
    </row>
    <row r="148" spans="1:1" s="31" customFormat="1" x14ac:dyDescent="0.2">
      <c r="A148" s="38">
        <v>0</v>
      </c>
    </row>
    <row r="149" spans="1:1" s="31" customFormat="1" x14ac:dyDescent="0.2">
      <c r="A149" s="39">
        <v>0</v>
      </c>
    </row>
    <row r="150" spans="1:1" s="31" customFormat="1" x14ac:dyDescent="0.2">
      <c r="A150" s="38">
        <v>0</v>
      </c>
    </row>
    <row r="151" spans="1:1" s="31" customFormat="1" x14ac:dyDescent="0.2">
      <c r="A151" s="39">
        <v>0</v>
      </c>
    </row>
    <row r="152" spans="1:1" s="31" customFormat="1" x14ac:dyDescent="0.2">
      <c r="A152" s="40">
        <v>0</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51</vt:i4>
      </vt:variant>
    </vt:vector>
  </HeadingPairs>
  <TitlesOfParts>
    <vt:vector size="51" baseType="lpstr">
      <vt:lpstr>Feuil1</vt:lpstr>
      <vt:lpstr>Q1</vt:lpstr>
      <vt:lpstr>Q2</vt:lpstr>
      <vt:lpstr>Q3</vt:lpstr>
      <vt:lpstr>Q4</vt:lpstr>
      <vt:lpstr>TQ4</vt:lpstr>
      <vt:lpstr>Q5</vt:lpstr>
      <vt:lpstr>TQ5</vt:lpstr>
      <vt:lpstr>Q6</vt:lpstr>
      <vt:lpstr>TQ6</vt:lpstr>
      <vt:lpstr>Q7</vt:lpstr>
      <vt:lpstr>Q8</vt:lpstr>
      <vt:lpstr>Q9</vt:lpstr>
      <vt:lpstr>TQ9</vt:lpstr>
      <vt:lpstr>Q10</vt:lpstr>
      <vt:lpstr>TQ10</vt:lpstr>
      <vt:lpstr>Q11</vt:lpstr>
      <vt:lpstr>TQ11</vt:lpstr>
      <vt:lpstr>Q12</vt:lpstr>
      <vt:lpstr>Q13</vt:lpstr>
      <vt:lpstr>Q14</vt:lpstr>
      <vt:lpstr>TQ14</vt:lpstr>
      <vt:lpstr>Q15-1</vt:lpstr>
      <vt:lpstr>Q15-2</vt:lpstr>
      <vt:lpstr>Q15-3</vt:lpstr>
      <vt:lpstr>Q15-4</vt:lpstr>
      <vt:lpstr>Q15-5</vt:lpstr>
      <vt:lpstr>Q15-6</vt:lpstr>
      <vt:lpstr>TQ15</vt:lpstr>
      <vt:lpstr>Q16</vt:lpstr>
      <vt:lpstr>TQ16</vt:lpstr>
      <vt:lpstr>Q17</vt:lpstr>
      <vt:lpstr>Q18</vt:lpstr>
      <vt:lpstr>TQ18</vt:lpstr>
      <vt:lpstr>Q19</vt:lpstr>
      <vt:lpstr>TQ19</vt:lpstr>
      <vt:lpstr>Q20</vt:lpstr>
      <vt:lpstr>TQ20</vt:lpstr>
      <vt:lpstr>Q21</vt:lpstr>
      <vt:lpstr>TQ21</vt:lpstr>
      <vt:lpstr>Q22</vt:lpstr>
      <vt:lpstr>Q23</vt:lpstr>
      <vt:lpstr>Q24</vt:lpstr>
      <vt:lpstr>Q25</vt:lpstr>
      <vt:lpstr>TQ25</vt:lpstr>
      <vt:lpstr>Q26</vt:lpstr>
      <vt:lpstr>TQ26</vt:lpstr>
      <vt:lpstr>Q27</vt:lpstr>
      <vt:lpstr>TQ27</vt:lpstr>
      <vt:lpstr>Q28</vt:lpstr>
      <vt:lpstr>TQ28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DEDENON</dc:creator>
  <cp:lastModifiedBy>Leonie Olivier</cp:lastModifiedBy>
  <dcterms:created xsi:type="dcterms:W3CDTF">2026-01-05T14:29:16Z</dcterms:created>
  <dcterms:modified xsi:type="dcterms:W3CDTF">2026-02-08T14:11:52Z</dcterms:modified>
</cp:coreProperties>
</file>